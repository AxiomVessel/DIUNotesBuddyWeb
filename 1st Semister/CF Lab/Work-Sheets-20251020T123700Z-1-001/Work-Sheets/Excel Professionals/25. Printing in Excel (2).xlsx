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Microsoft Excel Professionals - 25 Workbooks\"/>
    </mc:Choice>
  </mc:AlternateContent>
  <xr:revisionPtr revIDLastSave="0" documentId="13_ncr:1_{033EF0AD-F79B-4CBC-A9C5-895E0099D98F}" xr6:coauthVersionLast="45" xr6:coauthVersionMax="45" xr10:uidLastSave="{00000000-0000-0000-0000-000000000000}"/>
  <bookViews>
    <workbookView xWindow="-110" yWindow="-110" windowWidth="19420" windowHeight="10420" xr2:uid="{24CB3DA3-73F6-4DB7-9762-316A8228B55C}"/>
  </bookViews>
  <sheets>
    <sheet name="Practice" sheetId="1" r:id="rId1"/>
    <sheet name="Solution" sheetId="3" r:id="rId2"/>
  </sheets>
  <definedNames>
    <definedName name="_xlnm._FilterDatabase" localSheetId="0" hidden="1">Practice!$A$2:$J$2</definedName>
    <definedName name="_xlnm._FilterDatabase" localSheetId="1" hidden="1">Solution!$A$2:$J$2</definedName>
    <definedName name="_xlnm.Print_Titles" localSheetId="1">Solution!$1:$2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1" i="3" l="1"/>
  <c r="H111" i="3"/>
  <c r="J111" i="3" s="1"/>
  <c r="G200" i="3"/>
  <c r="G351" i="3"/>
  <c r="G199" i="3"/>
  <c r="G350" i="3"/>
  <c r="H350" i="3" s="1"/>
  <c r="J350" i="3" s="1"/>
  <c r="G198" i="3"/>
  <c r="G349" i="3"/>
  <c r="H349" i="3" s="1"/>
  <c r="J349" i="3" s="1"/>
  <c r="G197" i="3"/>
  <c r="H197" i="3" s="1"/>
  <c r="J197" i="3" s="1"/>
  <c r="G578" i="3"/>
  <c r="G348" i="3"/>
  <c r="H348" i="3" s="1"/>
  <c r="J348" i="3" s="1"/>
  <c r="G196" i="3"/>
  <c r="G347" i="3"/>
  <c r="H347" i="3" s="1"/>
  <c r="G577" i="3"/>
  <c r="H577" i="3" s="1"/>
  <c r="J577" i="3" s="1"/>
  <c r="H576" i="3"/>
  <c r="G576" i="3"/>
  <c r="G346" i="3"/>
  <c r="H346" i="3" s="1"/>
  <c r="J346" i="3" s="1"/>
  <c r="H345" i="3"/>
  <c r="J345" i="3" s="1"/>
  <c r="G345" i="3"/>
  <c r="G344" i="3"/>
  <c r="G343" i="3"/>
  <c r="H343" i="3" s="1"/>
  <c r="J343" i="3" s="1"/>
  <c r="G342" i="3"/>
  <c r="G195" i="3"/>
  <c r="H195" i="3" s="1"/>
  <c r="G341" i="3"/>
  <c r="H341" i="3" s="1"/>
  <c r="J341" i="3" s="1"/>
  <c r="G575" i="3"/>
  <c r="H340" i="3"/>
  <c r="G340" i="3"/>
  <c r="G339" i="3"/>
  <c r="G194" i="3"/>
  <c r="G193" i="3"/>
  <c r="H193" i="3" s="1"/>
  <c r="J193" i="3" s="1"/>
  <c r="G574" i="3"/>
  <c r="G573" i="3"/>
  <c r="H573" i="3" s="1"/>
  <c r="G192" i="3"/>
  <c r="H192" i="3" s="1"/>
  <c r="J192" i="3" s="1"/>
  <c r="G572" i="3"/>
  <c r="H572" i="3" s="1"/>
  <c r="G191" i="3"/>
  <c r="G571" i="3"/>
  <c r="H571" i="3" s="1"/>
  <c r="J571" i="3" s="1"/>
  <c r="G570" i="3"/>
  <c r="G190" i="3"/>
  <c r="H190" i="3" s="1"/>
  <c r="J190" i="3" s="1"/>
  <c r="G569" i="3"/>
  <c r="G568" i="3"/>
  <c r="G567" i="3"/>
  <c r="H567" i="3" s="1"/>
  <c r="J567" i="3" s="1"/>
  <c r="G566" i="3"/>
  <c r="G565" i="3"/>
  <c r="H565" i="3" s="1"/>
  <c r="J565" i="3" s="1"/>
  <c r="G564" i="3"/>
  <c r="H564" i="3" s="1"/>
  <c r="J564" i="3" s="1"/>
  <c r="G563" i="3"/>
  <c r="G562" i="3"/>
  <c r="H562" i="3" s="1"/>
  <c r="J562" i="3" s="1"/>
  <c r="G561" i="3"/>
  <c r="G560" i="3"/>
  <c r="H560" i="3" s="1"/>
  <c r="G559" i="3"/>
  <c r="H559" i="3" s="1"/>
  <c r="J559" i="3" s="1"/>
  <c r="H558" i="3"/>
  <c r="G558" i="3"/>
  <c r="H557" i="3"/>
  <c r="J557" i="3" s="1"/>
  <c r="G557" i="3"/>
  <c r="G441" i="3"/>
  <c r="H441" i="3" s="1"/>
  <c r="G440" i="3"/>
  <c r="G439" i="3"/>
  <c r="G438" i="3"/>
  <c r="G437" i="3"/>
  <c r="H437" i="3" s="1"/>
  <c r="G436" i="3"/>
  <c r="H436" i="3" s="1"/>
  <c r="J436" i="3" s="1"/>
  <c r="G435" i="3"/>
  <c r="G434" i="3"/>
  <c r="G433" i="3"/>
  <c r="G432" i="3"/>
  <c r="G431" i="3"/>
  <c r="G430" i="3"/>
  <c r="G429" i="3"/>
  <c r="H429" i="3" s="1"/>
  <c r="G428" i="3"/>
  <c r="H428" i="3" s="1"/>
  <c r="J428" i="3" s="1"/>
  <c r="H427" i="3"/>
  <c r="G427" i="3"/>
  <c r="G426" i="3"/>
  <c r="G425" i="3"/>
  <c r="H425" i="3" s="1"/>
  <c r="J425" i="3" s="1"/>
  <c r="G424" i="3"/>
  <c r="G423" i="3"/>
  <c r="G422" i="3"/>
  <c r="G421" i="3"/>
  <c r="H420" i="3"/>
  <c r="J420" i="3" s="1"/>
  <c r="G420" i="3"/>
  <c r="G419" i="3"/>
  <c r="G418" i="3"/>
  <c r="H418" i="3" s="1"/>
  <c r="J418" i="3" s="1"/>
  <c r="G417" i="3"/>
  <c r="H417" i="3" s="1"/>
  <c r="G416" i="3"/>
  <c r="J415" i="3"/>
  <c r="G415" i="3"/>
  <c r="H415" i="3" s="1"/>
  <c r="G414" i="3"/>
  <c r="G413" i="3"/>
  <c r="H413" i="3" s="1"/>
  <c r="G412" i="3"/>
  <c r="H412" i="3" s="1"/>
  <c r="J412" i="3" s="1"/>
  <c r="G411" i="3"/>
  <c r="H411" i="3" s="1"/>
  <c r="G410" i="3"/>
  <c r="H410" i="3" s="1"/>
  <c r="J410" i="3" s="1"/>
  <c r="G409" i="3"/>
  <c r="H409" i="3" s="1"/>
  <c r="G408" i="3"/>
  <c r="H408" i="3" s="1"/>
  <c r="G407" i="3"/>
  <c r="H407" i="3" s="1"/>
  <c r="G406" i="3"/>
  <c r="G405" i="3"/>
  <c r="G404" i="3"/>
  <c r="H404" i="3" s="1"/>
  <c r="J404" i="3" s="1"/>
  <c r="H403" i="3"/>
  <c r="G403" i="3"/>
  <c r="G402" i="3"/>
  <c r="H402" i="3" s="1"/>
  <c r="J402" i="3" s="1"/>
  <c r="G401" i="3"/>
  <c r="H401" i="3" s="1"/>
  <c r="J401" i="3" s="1"/>
  <c r="G400" i="3"/>
  <c r="H400" i="3" s="1"/>
  <c r="G399" i="3"/>
  <c r="H399" i="3" s="1"/>
  <c r="G398" i="3"/>
  <c r="G397" i="3"/>
  <c r="G396" i="3"/>
  <c r="H396" i="3" s="1"/>
  <c r="J396" i="3" s="1"/>
  <c r="G395" i="3"/>
  <c r="G394" i="3"/>
  <c r="H394" i="3" s="1"/>
  <c r="J394" i="3" s="1"/>
  <c r="G393" i="3"/>
  <c r="G392" i="3"/>
  <c r="H392" i="3" s="1"/>
  <c r="G556" i="3"/>
  <c r="H556" i="3" s="1"/>
  <c r="J556" i="3" s="1"/>
  <c r="G555" i="3"/>
  <c r="G554" i="3"/>
  <c r="H554" i="3" s="1"/>
  <c r="G553" i="3"/>
  <c r="H553" i="3" s="1"/>
  <c r="J553" i="3" s="1"/>
  <c r="H552" i="3"/>
  <c r="G552" i="3"/>
  <c r="G551" i="3"/>
  <c r="H551" i="3" s="1"/>
  <c r="G550" i="3"/>
  <c r="G549" i="3"/>
  <c r="H549" i="3" s="1"/>
  <c r="H548" i="3"/>
  <c r="G548" i="3"/>
  <c r="G547" i="3"/>
  <c r="G546" i="3"/>
  <c r="H545" i="3"/>
  <c r="J545" i="3" s="1"/>
  <c r="G545" i="3"/>
  <c r="G544" i="3"/>
  <c r="H544" i="3" s="1"/>
  <c r="G543" i="3"/>
  <c r="H542" i="3"/>
  <c r="J542" i="3" s="1"/>
  <c r="G542" i="3"/>
  <c r="G541" i="3"/>
  <c r="H541" i="3" s="1"/>
  <c r="G540" i="3"/>
  <c r="G539" i="3"/>
  <c r="G538" i="3"/>
  <c r="G537" i="3"/>
  <c r="H537" i="3" s="1"/>
  <c r="J537" i="3" s="1"/>
  <c r="G536" i="3"/>
  <c r="H536" i="3" s="1"/>
  <c r="G535" i="3"/>
  <c r="G534" i="3"/>
  <c r="H534" i="3" s="1"/>
  <c r="G533" i="3"/>
  <c r="H533" i="3" s="1"/>
  <c r="G532" i="3"/>
  <c r="G531" i="3"/>
  <c r="G530" i="3"/>
  <c r="H530" i="3" s="1"/>
  <c r="G529" i="3"/>
  <c r="H529" i="3" s="1"/>
  <c r="J529" i="3" s="1"/>
  <c r="G528" i="3"/>
  <c r="G527" i="3"/>
  <c r="H527" i="3" s="1"/>
  <c r="G526" i="3"/>
  <c r="G525" i="3"/>
  <c r="H525" i="3" s="1"/>
  <c r="G524" i="3"/>
  <c r="G523" i="3"/>
  <c r="G522" i="3"/>
  <c r="H522" i="3" s="1"/>
  <c r="G521" i="3"/>
  <c r="H521" i="3" s="1"/>
  <c r="J521" i="3" s="1"/>
  <c r="G520" i="3"/>
  <c r="H520" i="3" s="1"/>
  <c r="H519" i="3"/>
  <c r="J519" i="3" s="1"/>
  <c r="G519" i="3"/>
  <c r="G518" i="3"/>
  <c r="G517" i="3"/>
  <c r="H517" i="3" s="1"/>
  <c r="G516" i="3"/>
  <c r="H516" i="3" s="1"/>
  <c r="J516" i="3" s="1"/>
  <c r="G515" i="3"/>
  <c r="G514" i="3"/>
  <c r="G513" i="3"/>
  <c r="G512" i="3"/>
  <c r="H512" i="3" s="1"/>
  <c r="G511" i="3"/>
  <c r="G510" i="3"/>
  <c r="H510" i="3" s="1"/>
  <c r="J510" i="3" s="1"/>
  <c r="G509" i="3"/>
  <c r="H509" i="3" s="1"/>
  <c r="G508" i="3"/>
  <c r="G507" i="3"/>
  <c r="G506" i="3"/>
  <c r="G505" i="3"/>
  <c r="H505" i="3" s="1"/>
  <c r="J505" i="3" s="1"/>
  <c r="G504" i="3"/>
  <c r="H504" i="3" s="1"/>
  <c r="G503" i="3"/>
  <c r="H503" i="3" s="1"/>
  <c r="J503" i="3" s="1"/>
  <c r="G338" i="3"/>
  <c r="H338" i="3" s="1"/>
  <c r="G337" i="3"/>
  <c r="G336" i="3"/>
  <c r="H336" i="3" s="1"/>
  <c r="J336" i="3" s="1"/>
  <c r="G502" i="3"/>
  <c r="G501" i="3"/>
  <c r="G335" i="3"/>
  <c r="H335" i="3" s="1"/>
  <c r="J335" i="3" s="1"/>
  <c r="H500" i="3"/>
  <c r="G500" i="3"/>
  <c r="G334" i="3"/>
  <c r="H334" i="3" s="1"/>
  <c r="J334" i="3" s="1"/>
  <c r="G333" i="3"/>
  <c r="H333" i="3" s="1"/>
  <c r="G499" i="3"/>
  <c r="H499" i="3" s="1"/>
  <c r="G332" i="3"/>
  <c r="H332" i="3" s="1"/>
  <c r="J332" i="3" s="1"/>
  <c r="G331" i="3"/>
  <c r="G330" i="3"/>
  <c r="H330" i="3" s="1"/>
  <c r="G498" i="3"/>
  <c r="H498" i="3" s="1"/>
  <c r="J498" i="3" s="1"/>
  <c r="G329" i="3"/>
  <c r="G328" i="3"/>
  <c r="H328" i="3" s="1"/>
  <c r="G327" i="3"/>
  <c r="H327" i="3" s="1"/>
  <c r="J327" i="3" s="1"/>
  <c r="G497" i="3"/>
  <c r="H497" i="3" s="1"/>
  <c r="G326" i="3"/>
  <c r="H326" i="3" s="1"/>
  <c r="G496" i="3"/>
  <c r="G325" i="3"/>
  <c r="G324" i="3"/>
  <c r="H324" i="3" s="1"/>
  <c r="J324" i="3" s="1"/>
  <c r="G495" i="3"/>
  <c r="H495" i="3" s="1"/>
  <c r="G494" i="3"/>
  <c r="G323" i="3"/>
  <c r="H323" i="3" s="1"/>
  <c r="J323" i="3" s="1"/>
  <c r="J493" i="3"/>
  <c r="G493" i="3"/>
  <c r="H493" i="3" s="1"/>
  <c r="G322" i="3"/>
  <c r="G321" i="3"/>
  <c r="G492" i="3"/>
  <c r="G491" i="3"/>
  <c r="H491" i="3" s="1"/>
  <c r="J491" i="3" s="1"/>
  <c r="G490" i="3"/>
  <c r="H490" i="3" s="1"/>
  <c r="G320" i="3"/>
  <c r="G319" i="3"/>
  <c r="H319" i="3" s="1"/>
  <c r="J319" i="3" s="1"/>
  <c r="G318" i="3"/>
  <c r="H318" i="3" s="1"/>
  <c r="G317" i="3"/>
  <c r="G316" i="3"/>
  <c r="H489" i="3"/>
  <c r="G489" i="3"/>
  <c r="G488" i="3"/>
  <c r="H488" i="3" s="1"/>
  <c r="J488" i="3" s="1"/>
  <c r="H315" i="3"/>
  <c r="G315" i="3"/>
  <c r="G314" i="3"/>
  <c r="G313" i="3"/>
  <c r="G312" i="3"/>
  <c r="H312" i="3" s="1"/>
  <c r="H487" i="3"/>
  <c r="J487" i="3" s="1"/>
  <c r="G487" i="3"/>
  <c r="G486" i="3"/>
  <c r="G485" i="3"/>
  <c r="H485" i="3" s="1"/>
  <c r="G484" i="3"/>
  <c r="H484" i="3" s="1"/>
  <c r="J484" i="3" s="1"/>
  <c r="G483" i="3"/>
  <c r="H483" i="3" s="1"/>
  <c r="G311" i="3"/>
  <c r="H311" i="3" s="1"/>
  <c r="J311" i="3" s="1"/>
  <c r="H482" i="3"/>
  <c r="G482" i="3"/>
  <c r="G310" i="3"/>
  <c r="H310" i="3" s="1"/>
  <c r="G481" i="3"/>
  <c r="H481" i="3" s="1"/>
  <c r="J481" i="3" s="1"/>
  <c r="G309" i="3"/>
  <c r="G480" i="3"/>
  <c r="G308" i="3"/>
  <c r="H308" i="3" s="1"/>
  <c r="J308" i="3" s="1"/>
  <c r="G307" i="3"/>
  <c r="H307" i="3" s="1"/>
  <c r="G479" i="3"/>
  <c r="G306" i="3"/>
  <c r="G110" i="3"/>
  <c r="G109" i="3"/>
  <c r="G108" i="3"/>
  <c r="G107" i="3"/>
  <c r="G106" i="3"/>
  <c r="G105" i="3"/>
  <c r="H105" i="3" s="1"/>
  <c r="J105" i="3" s="1"/>
  <c r="G104" i="3"/>
  <c r="G103" i="3"/>
  <c r="G102" i="3"/>
  <c r="H102" i="3" s="1"/>
  <c r="J102" i="3" s="1"/>
  <c r="G101" i="3"/>
  <c r="G100" i="3"/>
  <c r="G99" i="3"/>
  <c r="H99" i="3" s="1"/>
  <c r="J99" i="3" s="1"/>
  <c r="H98" i="3"/>
  <c r="G98" i="3"/>
  <c r="G97" i="3"/>
  <c r="H97" i="3" s="1"/>
  <c r="J97" i="3" s="1"/>
  <c r="G96" i="3"/>
  <c r="H96" i="3" s="1"/>
  <c r="J96" i="3" s="1"/>
  <c r="G95" i="3"/>
  <c r="H95" i="3" s="1"/>
  <c r="G94" i="3"/>
  <c r="H94" i="3" s="1"/>
  <c r="J94" i="3" s="1"/>
  <c r="G93" i="3"/>
  <c r="G92" i="3"/>
  <c r="H92" i="3" s="1"/>
  <c r="H91" i="3"/>
  <c r="J91" i="3" s="1"/>
  <c r="G91" i="3"/>
  <c r="H90" i="3"/>
  <c r="G90" i="3"/>
  <c r="G89" i="3"/>
  <c r="H89" i="3" s="1"/>
  <c r="G88" i="3"/>
  <c r="G87" i="3"/>
  <c r="H87" i="3" s="1"/>
  <c r="H86" i="3"/>
  <c r="G86" i="3"/>
  <c r="G85" i="3"/>
  <c r="G84" i="3"/>
  <c r="G83" i="3"/>
  <c r="H83" i="3" s="1"/>
  <c r="J83" i="3" s="1"/>
  <c r="H82" i="3"/>
  <c r="G82" i="3"/>
  <c r="G81" i="3"/>
  <c r="H80" i="3"/>
  <c r="J80" i="3" s="1"/>
  <c r="G80" i="3"/>
  <c r="G79" i="3"/>
  <c r="H79" i="3" s="1"/>
  <c r="G78" i="3"/>
  <c r="G189" i="3"/>
  <c r="G77" i="3"/>
  <c r="G188" i="3"/>
  <c r="H188" i="3" s="1"/>
  <c r="J188" i="3" s="1"/>
  <c r="G76" i="3"/>
  <c r="G187" i="3"/>
  <c r="H75" i="3"/>
  <c r="J75" i="3" s="1"/>
  <c r="G75" i="3"/>
  <c r="G186" i="3"/>
  <c r="G74" i="3"/>
  <c r="G185" i="3"/>
  <c r="G73" i="3"/>
  <c r="H73" i="3" s="1"/>
  <c r="G184" i="3"/>
  <c r="H184" i="3" s="1"/>
  <c r="J184" i="3" s="1"/>
  <c r="G72" i="3"/>
  <c r="G183" i="3"/>
  <c r="H183" i="3" s="1"/>
  <c r="J183" i="3" s="1"/>
  <c r="G71" i="3"/>
  <c r="H71" i="3" s="1"/>
  <c r="J71" i="3" s="1"/>
  <c r="G182" i="3"/>
  <c r="H182" i="3" s="1"/>
  <c r="G70" i="3"/>
  <c r="H70" i="3" s="1"/>
  <c r="J70" i="3" s="1"/>
  <c r="G181" i="3"/>
  <c r="G69" i="3"/>
  <c r="H69" i="3" s="1"/>
  <c r="G180" i="3"/>
  <c r="H180" i="3" s="1"/>
  <c r="J180" i="3" s="1"/>
  <c r="H68" i="3"/>
  <c r="G68" i="3"/>
  <c r="G179" i="3"/>
  <c r="H179" i="3" s="1"/>
  <c r="J179" i="3" s="1"/>
  <c r="G67" i="3"/>
  <c r="H67" i="3" s="1"/>
  <c r="J67" i="3" s="1"/>
  <c r="G178" i="3"/>
  <c r="H178" i="3" s="1"/>
  <c r="H305" i="3"/>
  <c r="J305" i="3" s="1"/>
  <c r="G305" i="3"/>
  <c r="G177" i="3"/>
  <c r="G478" i="3"/>
  <c r="G176" i="3"/>
  <c r="H176" i="3" s="1"/>
  <c r="J176" i="3" s="1"/>
  <c r="G304" i="3"/>
  <c r="H304" i="3" s="1"/>
  <c r="G175" i="3"/>
  <c r="G477" i="3"/>
  <c r="J174" i="3"/>
  <c r="G174" i="3"/>
  <c r="H174" i="3" s="1"/>
  <c r="G391" i="3"/>
  <c r="G173" i="3"/>
  <c r="G390" i="3"/>
  <c r="G172" i="3"/>
  <c r="H172" i="3" s="1"/>
  <c r="G389" i="3"/>
  <c r="H389" i="3" s="1"/>
  <c r="J171" i="3"/>
  <c r="G171" i="3"/>
  <c r="H171" i="3" s="1"/>
  <c r="G388" i="3"/>
  <c r="G170" i="3"/>
  <c r="G303" i="3"/>
  <c r="H303" i="3" s="1"/>
  <c r="J303" i="3" s="1"/>
  <c r="G169" i="3"/>
  <c r="G476" i="3"/>
  <c r="H168" i="3"/>
  <c r="J168" i="3" s="1"/>
  <c r="G168" i="3"/>
  <c r="G302" i="3"/>
  <c r="H302" i="3" s="1"/>
  <c r="G167" i="3"/>
  <c r="H167" i="3" s="1"/>
  <c r="J167" i="3" s="1"/>
  <c r="G66" i="3"/>
  <c r="H66" i="3" s="1"/>
  <c r="J66" i="3" s="1"/>
  <c r="G166" i="3"/>
  <c r="H166" i="3" s="1"/>
  <c r="G65" i="3"/>
  <c r="H65" i="3" s="1"/>
  <c r="J65" i="3" s="1"/>
  <c r="G165" i="3"/>
  <c r="H64" i="3"/>
  <c r="G64" i="3"/>
  <c r="G301" i="3"/>
  <c r="H301" i="3" s="1"/>
  <c r="J301" i="3" s="1"/>
  <c r="G164" i="3"/>
  <c r="H164" i="3" s="1"/>
  <c r="G300" i="3"/>
  <c r="H300" i="3" s="1"/>
  <c r="G163" i="3"/>
  <c r="H163" i="3" s="1"/>
  <c r="J163" i="3" s="1"/>
  <c r="G63" i="3"/>
  <c r="H63" i="3" s="1"/>
  <c r="G162" i="3"/>
  <c r="G299" i="3"/>
  <c r="G161" i="3"/>
  <c r="G298" i="3"/>
  <c r="H298" i="3" s="1"/>
  <c r="J298" i="3" s="1"/>
  <c r="G160" i="3"/>
  <c r="G62" i="3"/>
  <c r="J159" i="3"/>
  <c r="H159" i="3"/>
  <c r="G159" i="3"/>
  <c r="G387" i="3"/>
  <c r="H387" i="3" s="1"/>
  <c r="G158" i="3"/>
  <c r="G386" i="3"/>
  <c r="G157" i="3"/>
  <c r="G61" i="3"/>
  <c r="H61" i="3" s="1"/>
  <c r="J61" i="3" s="1"/>
  <c r="G156" i="3"/>
  <c r="G385" i="3"/>
  <c r="G155" i="3"/>
  <c r="H155" i="3" s="1"/>
  <c r="J155" i="3" s="1"/>
  <c r="G384" i="3"/>
  <c r="G154" i="3"/>
  <c r="G383" i="3"/>
  <c r="G60" i="3"/>
  <c r="H60" i="3" s="1"/>
  <c r="G382" i="3"/>
  <c r="H382" i="3" s="1"/>
  <c r="J382" i="3" s="1"/>
  <c r="G381" i="3"/>
  <c r="G153" i="3"/>
  <c r="H153" i="3" s="1"/>
  <c r="J153" i="3" s="1"/>
  <c r="G380" i="3"/>
  <c r="H380" i="3" s="1"/>
  <c r="J380" i="3" s="1"/>
  <c r="G152" i="3"/>
  <c r="H152" i="3" s="1"/>
  <c r="G59" i="3"/>
  <c r="H59" i="3" s="1"/>
  <c r="J59" i="3" s="1"/>
  <c r="G151" i="3"/>
  <c r="G379" i="3"/>
  <c r="G150" i="3"/>
  <c r="G378" i="3"/>
  <c r="H378" i="3" s="1"/>
  <c r="G149" i="3"/>
  <c r="H149" i="3" s="1"/>
  <c r="G58" i="3"/>
  <c r="H58" i="3" s="1"/>
  <c r="J58" i="3" s="1"/>
  <c r="G148" i="3"/>
  <c r="H148" i="3" s="1"/>
  <c r="G57" i="3"/>
  <c r="H57" i="3" s="1"/>
  <c r="G147" i="3"/>
  <c r="G56" i="3"/>
  <c r="H56" i="3" s="1"/>
  <c r="G146" i="3"/>
  <c r="H146" i="3" s="1"/>
  <c r="J146" i="3" s="1"/>
  <c r="G55" i="3"/>
  <c r="H55" i="3" s="1"/>
  <c r="G145" i="3"/>
  <c r="H145" i="3" s="1"/>
  <c r="J145" i="3" s="1"/>
  <c r="G54" i="3"/>
  <c r="H54" i="3" s="1"/>
  <c r="J54" i="3" s="1"/>
  <c r="G144" i="3"/>
  <c r="H144" i="3" s="1"/>
  <c r="H53" i="3"/>
  <c r="J53" i="3" s="1"/>
  <c r="G53" i="3"/>
  <c r="G143" i="3"/>
  <c r="G52" i="3"/>
  <c r="G377" i="3"/>
  <c r="G142" i="3"/>
  <c r="G475" i="3"/>
  <c r="G474" i="3"/>
  <c r="H474" i="3" s="1"/>
  <c r="G297" i="3"/>
  <c r="H297" i="3" s="1"/>
  <c r="J297" i="3" s="1"/>
  <c r="G376" i="3"/>
  <c r="G141" i="3"/>
  <c r="H141" i="3" s="1"/>
  <c r="G473" i="3"/>
  <c r="H473" i="3" s="1"/>
  <c r="G472" i="3"/>
  <c r="H472" i="3" s="1"/>
  <c r="G375" i="3"/>
  <c r="G296" i="3"/>
  <c r="G295" i="3"/>
  <c r="H295" i="3" s="1"/>
  <c r="J295" i="3" s="1"/>
  <c r="G294" i="3"/>
  <c r="H294" i="3" s="1"/>
  <c r="J294" i="3" s="1"/>
  <c r="G293" i="3"/>
  <c r="G292" i="3"/>
  <c r="H292" i="3" s="1"/>
  <c r="J292" i="3" s="1"/>
  <c r="G291" i="3"/>
  <c r="H291" i="3" s="1"/>
  <c r="G471" i="3"/>
  <c r="H471" i="3" s="1"/>
  <c r="G374" i="3"/>
  <c r="G470" i="3"/>
  <c r="H290" i="3"/>
  <c r="J290" i="3" s="1"/>
  <c r="G290" i="3"/>
  <c r="G51" i="3"/>
  <c r="H51" i="3" s="1"/>
  <c r="J51" i="3" s="1"/>
  <c r="G140" i="3"/>
  <c r="G469" i="3"/>
  <c r="H469" i="3" s="1"/>
  <c r="J469" i="3" s="1"/>
  <c r="G139" i="3"/>
  <c r="H139" i="3" s="1"/>
  <c r="J139" i="3" s="1"/>
  <c r="G50" i="3"/>
  <c r="H50" i="3" s="1"/>
  <c r="G289" i="3"/>
  <c r="G138" i="3"/>
  <c r="G288" i="3"/>
  <c r="H288" i="3" s="1"/>
  <c r="J288" i="3" s="1"/>
  <c r="H49" i="3"/>
  <c r="J49" i="3" s="1"/>
  <c r="G49" i="3"/>
  <c r="G287" i="3"/>
  <c r="J286" i="3"/>
  <c r="G286" i="3"/>
  <c r="H286" i="3" s="1"/>
  <c r="G468" i="3"/>
  <c r="H468" i="3" s="1"/>
  <c r="J468" i="3" s="1"/>
  <c r="G48" i="3"/>
  <c r="G467" i="3"/>
  <c r="G285" i="3"/>
  <c r="G284" i="3"/>
  <c r="G47" i="3"/>
  <c r="H47" i="3" s="1"/>
  <c r="J47" i="3" s="1"/>
  <c r="G283" i="3"/>
  <c r="G282" i="3"/>
  <c r="H282" i="3" s="1"/>
  <c r="G46" i="3"/>
  <c r="H46" i="3" s="1"/>
  <c r="G373" i="3"/>
  <c r="H373" i="3" s="1"/>
  <c r="G281" i="3"/>
  <c r="G466" i="3"/>
  <c r="G45" i="3"/>
  <c r="H45" i="3" s="1"/>
  <c r="J45" i="3" s="1"/>
  <c r="G280" i="3"/>
  <c r="H280" i="3" s="1"/>
  <c r="J280" i="3" s="1"/>
  <c r="G279" i="3"/>
  <c r="G278" i="3"/>
  <c r="H278" i="3" s="1"/>
  <c r="J278" i="3" s="1"/>
  <c r="G44" i="3"/>
  <c r="H44" i="3" s="1"/>
  <c r="G277" i="3"/>
  <c r="H277" i="3" s="1"/>
  <c r="G276" i="3"/>
  <c r="G372" i="3"/>
  <c r="G275" i="3"/>
  <c r="H275" i="3" s="1"/>
  <c r="J275" i="3" s="1"/>
  <c r="G274" i="3"/>
  <c r="H274" i="3" s="1"/>
  <c r="J274" i="3" s="1"/>
  <c r="G43" i="3"/>
  <c r="G273" i="3"/>
  <c r="H273" i="3" s="1"/>
  <c r="J273" i="3" s="1"/>
  <c r="G272" i="3"/>
  <c r="H272" i="3" s="1"/>
  <c r="J272" i="3" s="1"/>
  <c r="G271" i="3"/>
  <c r="H271" i="3" s="1"/>
  <c r="G270" i="3"/>
  <c r="G371" i="3"/>
  <c r="H269" i="3"/>
  <c r="J269" i="3" s="1"/>
  <c r="G269" i="3"/>
  <c r="G42" i="3"/>
  <c r="H42" i="3" s="1"/>
  <c r="J42" i="3" s="1"/>
  <c r="G268" i="3"/>
  <c r="H268" i="3" s="1"/>
  <c r="G465" i="3"/>
  <c r="H465" i="3" s="1"/>
  <c r="J465" i="3" s="1"/>
  <c r="G267" i="3"/>
  <c r="H267" i="3" s="1"/>
  <c r="G266" i="3"/>
  <c r="H266" i="3" s="1"/>
  <c r="J266" i="3" s="1"/>
  <c r="G41" i="3"/>
  <c r="G265" i="3"/>
  <c r="G264" i="3"/>
  <c r="H264" i="3" s="1"/>
  <c r="J264" i="3" s="1"/>
  <c r="G370" i="3"/>
  <c r="H370" i="3" s="1"/>
  <c r="J370" i="3" s="1"/>
  <c r="G40" i="3"/>
  <c r="G137" i="3"/>
  <c r="H137" i="3" s="1"/>
  <c r="J137" i="3" s="1"/>
  <c r="G136" i="3"/>
  <c r="H136" i="3" s="1"/>
  <c r="G135" i="3"/>
  <c r="G134" i="3"/>
  <c r="G133" i="3"/>
  <c r="G263" i="3"/>
  <c r="H263" i="3" s="1"/>
  <c r="J263" i="3" s="1"/>
  <c r="G262" i="3"/>
  <c r="H262" i="3" s="1"/>
  <c r="J262" i="3" s="1"/>
  <c r="G261" i="3"/>
  <c r="G260" i="3"/>
  <c r="H260" i="3" s="1"/>
  <c r="J260" i="3" s="1"/>
  <c r="J369" i="3"/>
  <c r="G369" i="3"/>
  <c r="H369" i="3" s="1"/>
  <c r="G259" i="3"/>
  <c r="H259" i="3" s="1"/>
  <c r="J259" i="3" s="1"/>
  <c r="G464" i="3"/>
  <c r="G368" i="3"/>
  <c r="G463" i="3"/>
  <c r="H463" i="3" s="1"/>
  <c r="J463" i="3" s="1"/>
  <c r="G462" i="3"/>
  <c r="H462" i="3" s="1"/>
  <c r="J462" i="3" s="1"/>
  <c r="G258" i="3"/>
  <c r="H258" i="3" s="1"/>
  <c r="G367" i="3"/>
  <c r="H367" i="3" s="1"/>
  <c r="J367" i="3" s="1"/>
  <c r="G257" i="3"/>
  <c r="H257" i="3" s="1"/>
  <c r="G461" i="3"/>
  <c r="H461" i="3" s="1"/>
  <c r="G256" i="3"/>
  <c r="H256" i="3" s="1"/>
  <c r="G255" i="3"/>
  <c r="G254" i="3"/>
  <c r="H254" i="3" s="1"/>
  <c r="J254" i="3" s="1"/>
  <c r="G253" i="3"/>
  <c r="H253" i="3" s="1"/>
  <c r="J253" i="3" s="1"/>
  <c r="G252" i="3"/>
  <c r="J251" i="3"/>
  <c r="G251" i="3"/>
  <c r="H251" i="3" s="1"/>
  <c r="G250" i="3"/>
  <c r="H250" i="3" s="1"/>
  <c r="G249" i="3"/>
  <c r="H249" i="3" s="1"/>
  <c r="G460" i="3"/>
  <c r="G459" i="3"/>
  <c r="J248" i="3"/>
  <c r="H248" i="3"/>
  <c r="G248" i="3"/>
  <c r="G458" i="3"/>
  <c r="G247" i="3"/>
  <c r="H247" i="3" s="1"/>
  <c r="G457" i="3"/>
  <c r="H457" i="3" s="1"/>
  <c r="G246" i="3"/>
  <c r="H246" i="3" s="1"/>
  <c r="J246" i="3" s="1"/>
  <c r="G456" i="3"/>
  <c r="G39" i="3"/>
  <c r="G38" i="3"/>
  <c r="G37" i="3"/>
  <c r="H37" i="3" s="1"/>
  <c r="J37" i="3" s="1"/>
  <c r="G36" i="3"/>
  <c r="H36" i="3" s="1"/>
  <c r="J36" i="3" s="1"/>
  <c r="G35" i="3"/>
  <c r="H35" i="3" s="1"/>
  <c r="G34" i="3"/>
  <c r="H34" i="3" s="1"/>
  <c r="G33" i="3"/>
  <c r="H33" i="3" s="1"/>
  <c r="J33" i="3" s="1"/>
  <c r="G32" i="3"/>
  <c r="H32" i="3" s="1"/>
  <c r="J32" i="3" s="1"/>
  <c r="G245" i="3"/>
  <c r="H245" i="3" s="1"/>
  <c r="G455" i="3"/>
  <c r="G132" i="3"/>
  <c r="H132" i="3" s="1"/>
  <c r="J132" i="3" s="1"/>
  <c r="G244" i="3"/>
  <c r="H244" i="3" s="1"/>
  <c r="J244" i="3" s="1"/>
  <c r="G131" i="3"/>
  <c r="G31" i="3"/>
  <c r="H31" i="3" s="1"/>
  <c r="J30" i="3"/>
  <c r="G30" i="3"/>
  <c r="H30" i="3" s="1"/>
  <c r="G130" i="3"/>
  <c r="G29" i="3"/>
  <c r="H29" i="3" s="1"/>
  <c r="G28" i="3"/>
  <c r="G129" i="3"/>
  <c r="H129" i="3" s="1"/>
  <c r="J129" i="3" s="1"/>
  <c r="H27" i="3"/>
  <c r="G27" i="3"/>
  <c r="G26" i="3"/>
  <c r="G128" i="3"/>
  <c r="H128" i="3" s="1"/>
  <c r="G25" i="3"/>
  <c r="H25" i="3" s="1"/>
  <c r="G243" i="3"/>
  <c r="H243" i="3" s="1"/>
  <c r="G127" i="3"/>
  <c r="G24" i="3"/>
  <c r="G242" i="3"/>
  <c r="H242" i="3" s="1"/>
  <c r="G126" i="3"/>
  <c r="G23" i="3"/>
  <c r="H23" i="3" s="1"/>
  <c r="G241" i="3"/>
  <c r="H241" i="3" s="1"/>
  <c r="G125" i="3"/>
  <c r="H125" i="3" s="1"/>
  <c r="J125" i="3" s="1"/>
  <c r="G454" i="3"/>
  <c r="G240" i="3"/>
  <c r="G124" i="3"/>
  <c r="G453" i="3"/>
  <c r="H453" i="3" s="1"/>
  <c r="J453" i="3" s="1"/>
  <c r="G239" i="3"/>
  <c r="H239" i="3" s="1"/>
  <c r="J239" i="3" s="1"/>
  <c r="G238" i="3"/>
  <c r="H238" i="3" s="1"/>
  <c r="G237" i="3"/>
  <c r="H237" i="3" s="1"/>
  <c r="G236" i="3"/>
  <c r="H236" i="3" s="1"/>
  <c r="J236" i="3" s="1"/>
  <c r="G235" i="3"/>
  <c r="H235" i="3" s="1"/>
  <c r="G123" i="3"/>
  <c r="H123" i="3" s="1"/>
  <c r="G452" i="3"/>
  <c r="G234" i="3"/>
  <c r="H234" i="3" s="1"/>
  <c r="J234" i="3" s="1"/>
  <c r="G233" i="3"/>
  <c r="H233" i="3" s="1"/>
  <c r="J233" i="3" s="1"/>
  <c r="G122" i="3"/>
  <c r="G451" i="3"/>
  <c r="G450" i="3"/>
  <c r="H450" i="3" s="1"/>
  <c r="J450" i="3" s="1"/>
  <c r="G449" i="3"/>
  <c r="G448" i="3"/>
  <c r="G121" i="3"/>
  <c r="H121" i="3" s="1"/>
  <c r="J121" i="3" s="1"/>
  <c r="G232" i="3"/>
  <c r="H232" i="3" s="1"/>
  <c r="J232" i="3" s="1"/>
  <c r="G447" i="3"/>
  <c r="H447" i="3" s="1"/>
  <c r="G231" i="3"/>
  <c r="G22" i="3"/>
  <c r="H22" i="3" s="1"/>
  <c r="G120" i="3"/>
  <c r="H120" i="3" s="1"/>
  <c r="G21" i="3"/>
  <c r="G119" i="3"/>
  <c r="H119" i="3" s="1"/>
  <c r="G20" i="3"/>
  <c r="H20" i="3" s="1"/>
  <c r="G230" i="3"/>
  <c r="H230" i="3" s="1"/>
  <c r="J230" i="3" s="1"/>
  <c r="G446" i="3"/>
  <c r="G229" i="3"/>
  <c r="H229" i="3" s="1"/>
  <c r="J229" i="3" s="1"/>
  <c r="G228" i="3"/>
  <c r="H228" i="3" s="1"/>
  <c r="G227" i="3"/>
  <c r="G226" i="3"/>
  <c r="G225" i="3"/>
  <c r="G224" i="3"/>
  <c r="G223" i="3"/>
  <c r="H223" i="3" s="1"/>
  <c r="J223" i="3" s="1"/>
  <c r="G222" i="3"/>
  <c r="H222" i="3" s="1"/>
  <c r="G221" i="3"/>
  <c r="H221" i="3" s="1"/>
  <c r="G445" i="3"/>
  <c r="G444" i="3"/>
  <c r="G220" i="3"/>
  <c r="G219" i="3"/>
  <c r="G218" i="3"/>
  <c r="G217" i="3"/>
  <c r="H217" i="3" s="1"/>
  <c r="J217" i="3" s="1"/>
  <c r="G118" i="3"/>
  <c r="H118" i="3" s="1"/>
  <c r="G366" i="3"/>
  <c r="H366" i="3" s="1"/>
  <c r="G365" i="3"/>
  <c r="H365" i="3" s="1"/>
  <c r="G117" i="3"/>
  <c r="G364" i="3"/>
  <c r="G363" i="3"/>
  <c r="G19" i="3"/>
  <c r="H362" i="3"/>
  <c r="J362" i="3" s="1"/>
  <c r="G362" i="3"/>
  <c r="G116" i="3"/>
  <c r="H116" i="3" s="1"/>
  <c r="J116" i="3" s="1"/>
  <c r="G18" i="3"/>
  <c r="H18" i="3" s="1"/>
  <c r="G115" i="3"/>
  <c r="H115" i="3" s="1"/>
  <c r="J115" i="3" s="1"/>
  <c r="G17" i="3"/>
  <c r="G114" i="3"/>
  <c r="H114" i="3" s="1"/>
  <c r="G16" i="3"/>
  <c r="G15" i="3"/>
  <c r="G14" i="3"/>
  <c r="H14" i="3" s="1"/>
  <c r="J14" i="3" s="1"/>
  <c r="G113" i="3"/>
  <c r="G13" i="3"/>
  <c r="H13" i="3" s="1"/>
  <c r="G12" i="3"/>
  <c r="H12" i="3" s="1"/>
  <c r="J12" i="3" s="1"/>
  <c r="G11" i="3"/>
  <c r="G361" i="3"/>
  <c r="G10" i="3"/>
  <c r="G360" i="3"/>
  <c r="G9" i="3"/>
  <c r="H9" i="3" s="1"/>
  <c r="J9" i="3" s="1"/>
  <c r="G359" i="3"/>
  <c r="H8" i="3"/>
  <c r="G8" i="3"/>
  <c r="G358" i="3"/>
  <c r="H358" i="3" s="1"/>
  <c r="J358" i="3" s="1"/>
  <c r="G7" i="3"/>
  <c r="G357" i="3"/>
  <c r="G216" i="3"/>
  <c r="G215" i="3"/>
  <c r="G6" i="3"/>
  <c r="H6" i="3" s="1"/>
  <c r="J6" i="3" s="1"/>
  <c r="G214" i="3"/>
  <c r="G356" i="3"/>
  <c r="H356" i="3" s="1"/>
  <c r="H213" i="3"/>
  <c r="G213" i="3"/>
  <c r="G212" i="3"/>
  <c r="G211" i="3"/>
  <c r="H211" i="3" s="1"/>
  <c r="G210" i="3"/>
  <c r="G5" i="3"/>
  <c r="G209" i="3"/>
  <c r="H209" i="3" s="1"/>
  <c r="J209" i="3" s="1"/>
  <c r="G355" i="3"/>
  <c r="H355" i="3" s="1"/>
  <c r="G208" i="3"/>
  <c r="H208" i="3" s="1"/>
  <c r="G207" i="3"/>
  <c r="G206" i="3"/>
  <c r="G354" i="3"/>
  <c r="H354" i="3" s="1"/>
  <c r="G205" i="3"/>
  <c r="G443" i="3"/>
  <c r="G204" i="3"/>
  <c r="H204" i="3" s="1"/>
  <c r="J204" i="3" s="1"/>
  <c r="G353" i="3"/>
  <c r="H353" i="3" s="1"/>
  <c r="G203" i="3"/>
  <c r="H203" i="3" s="1"/>
  <c r="J203" i="3" s="1"/>
  <c r="G4" i="3"/>
  <c r="H4" i="3" s="1"/>
  <c r="J4" i="3" s="1"/>
  <c r="G352" i="3"/>
  <c r="H202" i="3"/>
  <c r="J202" i="3" s="1"/>
  <c r="G202" i="3"/>
  <c r="G112" i="3"/>
  <c r="G442" i="3"/>
  <c r="G3" i="3"/>
  <c r="H3" i="3" s="1"/>
  <c r="J3" i="3" s="1"/>
  <c r="H201" i="3"/>
  <c r="G201" i="3"/>
  <c r="J228" i="3" l="1"/>
  <c r="H550" i="3"/>
  <c r="J550" i="3" s="1"/>
  <c r="J310" i="3"/>
  <c r="J417" i="3"/>
  <c r="H135" i="3"/>
  <c r="J135" i="3" s="1"/>
  <c r="J541" i="3"/>
  <c r="J509" i="3"/>
  <c r="J213" i="3"/>
  <c r="H231" i="3"/>
  <c r="J231" i="3" s="1"/>
  <c r="J27" i="3"/>
  <c r="H104" i="3"/>
  <c r="J104" i="3" s="1"/>
  <c r="H314" i="3"/>
  <c r="J314" i="3" s="1"/>
  <c r="J400" i="3"/>
  <c r="J333" i="3"/>
  <c r="H458" i="3"/>
  <c r="J458" i="3" s="1"/>
  <c r="J482" i="3"/>
  <c r="J338" i="3"/>
  <c r="H513" i="3"/>
  <c r="J513" i="3" s="1"/>
  <c r="J461" i="3"/>
  <c r="J474" i="3"/>
  <c r="J527" i="3"/>
  <c r="J409" i="3"/>
  <c r="J340" i="3"/>
  <c r="J534" i="3"/>
  <c r="J242" i="3"/>
  <c r="J25" i="3"/>
  <c r="J267" i="3"/>
  <c r="H207" i="3"/>
  <c r="J207" i="3" s="1"/>
  <c r="J365" i="3"/>
  <c r="J22" i="3"/>
  <c r="J457" i="3"/>
  <c r="J257" i="3"/>
  <c r="H284" i="3"/>
  <c r="J284" i="3" s="1"/>
  <c r="J172" i="3"/>
  <c r="H477" i="3"/>
  <c r="J477" i="3" s="1"/>
  <c r="H313" i="3"/>
  <c r="J313" i="3" s="1"/>
  <c r="H434" i="3"/>
  <c r="J434" i="3" s="1"/>
  <c r="J441" i="3"/>
  <c r="J419" i="3"/>
  <c r="H445" i="3"/>
  <c r="J445" i="3" s="1"/>
  <c r="H21" i="3"/>
  <c r="J21" i="3" s="1"/>
  <c r="H126" i="3"/>
  <c r="J126" i="3" s="1"/>
  <c r="H130" i="3"/>
  <c r="J130" i="3" s="1"/>
  <c r="J44" i="3"/>
  <c r="J291" i="3"/>
  <c r="J387" i="3"/>
  <c r="H388" i="3"/>
  <c r="J388" i="3" s="1"/>
  <c r="H88" i="3"/>
  <c r="J88" i="3" s="1"/>
  <c r="H107" i="3"/>
  <c r="J107" i="3" s="1"/>
  <c r="H306" i="3"/>
  <c r="J306" i="3" s="1"/>
  <c r="H518" i="3"/>
  <c r="J518" i="3" s="1"/>
  <c r="H526" i="3"/>
  <c r="J526" i="3" s="1"/>
  <c r="H393" i="3"/>
  <c r="J393" i="3" s="1"/>
  <c r="H419" i="3"/>
  <c r="H433" i="3"/>
  <c r="J433" i="3" s="1"/>
  <c r="J560" i="3"/>
  <c r="H568" i="3"/>
  <c r="J568" i="3" s="1"/>
  <c r="H191" i="3"/>
  <c r="J191" i="3" s="1"/>
  <c r="J576" i="3"/>
  <c r="H198" i="3"/>
  <c r="J198" i="3" s="1"/>
  <c r="J118" i="3"/>
  <c r="J243" i="3"/>
  <c r="J378" i="3"/>
  <c r="J302" i="3"/>
  <c r="J353" i="3"/>
  <c r="H359" i="3"/>
  <c r="J359" i="3" s="1"/>
  <c r="J447" i="3"/>
  <c r="H449" i="3"/>
  <c r="J449" i="3" s="1"/>
  <c r="J250" i="3"/>
  <c r="J55" i="3"/>
  <c r="J57" i="3"/>
  <c r="H156" i="3"/>
  <c r="J156" i="3" s="1"/>
  <c r="H76" i="3"/>
  <c r="J76" i="3" s="1"/>
  <c r="J79" i="3"/>
  <c r="J98" i="3"/>
  <c r="J490" i="3"/>
  <c r="J408" i="3"/>
  <c r="J437" i="3"/>
  <c r="J575" i="3"/>
  <c r="J120" i="3"/>
  <c r="J164" i="3"/>
  <c r="J500" i="3"/>
  <c r="J536" i="3"/>
  <c r="J572" i="3"/>
  <c r="H575" i="3"/>
  <c r="J201" i="3"/>
  <c r="H214" i="3"/>
  <c r="J214" i="3" s="1"/>
  <c r="J222" i="3"/>
  <c r="J241" i="3"/>
  <c r="J128" i="3"/>
  <c r="J136" i="3"/>
  <c r="J46" i="3"/>
  <c r="J473" i="3"/>
  <c r="H381" i="3"/>
  <c r="J381" i="3" s="1"/>
  <c r="J389" i="3"/>
  <c r="J178" i="3"/>
  <c r="H72" i="3"/>
  <c r="J72" i="3" s="1"/>
  <c r="J90" i="3"/>
  <c r="J315" i="3"/>
  <c r="H524" i="3"/>
  <c r="J524" i="3" s="1"/>
  <c r="H395" i="3"/>
  <c r="J395" i="3" s="1"/>
  <c r="H421" i="3"/>
  <c r="J421" i="3" s="1"/>
  <c r="H426" i="3"/>
  <c r="J426" i="3" s="1"/>
  <c r="J558" i="3"/>
  <c r="H566" i="3"/>
  <c r="J566" i="3" s="1"/>
  <c r="H339" i="3"/>
  <c r="J339" i="3" s="1"/>
  <c r="J347" i="3"/>
  <c r="H199" i="3"/>
  <c r="J199" i="3" s="1"/>
  <c r="J329" i="3"/>
  <c r="J355" i="3"/>
  <c r="H113" i="3"/>
  <c r="J113" i="3" s="1"/>
  <c r="H122" i="3"/>
  <c r="J122" i="3" s="1"/>
  <c r="J249" i="3"/>
  <c r="J282" i="3"/>
  <c r="J141" i="3"/>
  <c r="J149" i="3"/>
  <c r="H160" i="3"/>
  <c r="J160" i="3" s="1"/>
  <c r="H106" i="3"/>
  <c r="J106" i="3" s="1"/>
  <c r="H329" i="3"/>
  <c r="J504" i="3"/>
  <c r="J517" i="3"/>
  <c r="H528" i="3"/>
  <c r="J528" i="3" s="1"/>
  <c r="J548" i="3"/>
  <c r="J552" i="3"/>
  <c r="J427" i="3"/>
  <c r="H435" i="3"/>
  <c r="J435" i="3" s="1"/>
  <c r="H357" i="3"/>
  <c r="J357" i="3" s="1"/>
  <c r="H361" i="3"/>
  <c r="J361" i="3" s="1"/>
  <c r="H364" i="3"/>
  <c r="J364" i="3" s="1"/>
  <c r="H220" i="3"/>
  <c r="J220" i="3" s="1"/>
  <c r="H226" i="3"/>
  <c r="J226" i="3" s="1"/>
  <c r="H127" i="3"/>
  <c r="J127" i="3" s="1"/>
  <c r="H454" i="3"/>
  <c r="J454" i="3" s="1"/>
  <c r="H456" i="3"/>
  <c r="J456" i="3" s="1"/>
  <c r="J235" i="3"/>
  <c r="H460" i="3"/>
  <c r="J460" i="3" s="1"/>
  <c r="J354" i="3"/>
  <c r="J211" i="3"/>
  <c r="J114" i="3"/>
  <c r="H240" i="3"/>
  <c r="J240" i="3" s="1"/>
  <c r="H442" i="3"/>
  <c r="J442" i="3" s="1"/>
  <c r="J20" i="3"/>
  <c r="H215" i="3"/>
  <c r="J215" i="3" s="1"/>
  <c r="H218" i="3"/>
  <c r="J218" i="3" s="1"/>
  <c r="H224" i="3"/>
  <c r="J224" i="3" s="1"/>
  <c r="H443" i="3"/>
  <c r="J443" i="3" s="1"/>
  <c r="H5" i="3"/>
  <c r="J5" i="3" s="1"/>
  <c r="H360" i="3"/>
  <c r="J360" i="3" s="1"/>
  <c r="H15" i="3"/>
  <c r="J15" i="3" s="1"/>
  <c r="H19" i="3"/>
  <c r="J19" i="3" s="1"/>
  <c r="H451" i="3"/>
  <c r="J451" i="3" s="1"/>
  <c r="J208" i="3"/>
  <c r="J356" i="3"/>
  <c r="J8" i="3"/>
  <c r="J13" i="3"/>
  <c r="J18" i="3"/>
  <c r="J366" i="3"/>
  <c r="J221" i="3"/>
  <c r="H448" i="3"/>
  <c r="J448" i="3" s="1"/>
  <c r="H28" i="3"/>
  <c r="J28" i="3" s="1"/>
  <c r="H255" i="3"/>
  <c r="J255" i="3" s="1"/>
  <c r="H276" i="3"/>
  <c r="J276" i="3" s="1"/>
  <c r="H374" i="3"/>
  <c r="J374" i="3" s="1"/>
  <c r="H143" i="3"/>
  <c r="J143" i="3"/>
  <c r="H147" i="3"/>
  <c r="J147" i="3" s="1"/>
  <c r="H478" i="3"/>
  <c r="J478" i="3" s="1"/>
  <c r="H78" i="3"/>
  <c r="J78" i="3" s="1"/>
  <c r="H424" i="3"/>
  <c r="J424" i="3" s="1"/>
  <c r="H352" i="3"/>
  <c r="J352" i="3" s="1"/>
  <c r="H206" i="3"/>
  <c r="J206" i="3" s="1"/>
  <c r="H212" i="3"/>
  <c r="J212" i="3" s="1"/>
  <c r="H7" i="3"/>
  <c r="J7" i="3" s="1"/>
  <c r="H11" i="3"/>
  <c r="J11" i="3" s="1"/>
  <c r="H17" i="3"/>
  <c r="J17" i="3" s="1"/>
  <c r="H117" i="3"/>
  <c r="J117" i="3" s="1"/>
  <c r="H444" i="3"/>
  <c r="J444" i="3" s="1"/>
  <c r="H227" i="3"/>
  <c r="J227" i="3" s="1"/>
  <c r="H446" i="3"/>
  <c r="J446" i="3" s="1"/>
  <c r="J119" i="3"/>
  <c r="H26" i="3"/>
  <c r="J26" i="3" s="1"/>
  <c r="J29" i="3"/>
  <c r="J31" i="3"/>
  <c r="H252" i="3"/>
  <c r="J252" i="3" s="1"/>
  <c r="J256" i="3"/>
  <c r="H368" i="3"/>
  <c r="J368" i="3" s="1"/>
  <c r="H133" i="3"/>
  <c r="J133" i="3" s="1"/>
  <c r="H265" i="3"/>
  <c r="J265" i="3" s="1"/>
  <c r="H43" i="3"/>
  <c r="J43" i="3" s="1"/>
  <c r="J277" i="3"/>
  <c r="H140" i="3"/>
  <c r="J140" i="3" s="1"/>
  <c r="J471" i="3"/>
  <c r="H62" i="3"/>
  <c r="J62" i="3" s="1"/>
  <c r="H162" i="3"/>
  <c r="J162" i="3" s="1"/>
  <c r="H103" i="3"/>
  <c r="J103" i="3" s="1"/>
  <c r="H480" i="3"/>
  <c r="J480" i="3" s="1"/>
  <c r="H416" i="3"/>
  <c r="J416" i="3" s="1"/>
  <c r="H41" i="3"/>
  <c r="J41" i="3" s="1"/>
  <c r="H175" i="3"/>
  <c r="J175" i="3" s="1"/>
  <c r="H464" i="3"/>
  <c r="J464" i="3" s="1"/>
  <c r="H270" i="3"/>
  <c r="J270" i="3" s="1"/>
  <c r="H289" i="3"/>
  <c r="J289" i="3" s="1"/>
  <c r="H185" i="3"/>
  <c r="J185" i="3" s="1"/>
  <c r="H337" i="3"/>
  <c r="J337" i="3" s="1"/>
  <c r="H514" i="3"/>
  <c r="J514" i="3" s="1"/>
  <c r="H112" i="3"/>
  <c r="J112" i="3" s="1"/>
  <c r="H205" i="3"/>
  <c r="J205" i="3" s="1"/>
  <c r="H210" i="3"/>
  <c r="J210" i="3" s="1"/>
  <c r="H216" i="3"/>
  <c r="J216" i="3" s="1"/>
  <c r="H10" i="3"/>
  <c r="J10" i="3" s="1"/>
  <c r="H16" i="3"/>
  <c r="J16" i="3" s="1"/>
  <c r="H363" i="3"/>
  <c r="J363" i="3" s="1"/>
  <c r="H219" i="3"/>
  <c r="J219" i="3" s="1"/>
  <c r="H225" i="3"/>
  <c r="J225" i="3" s="1"/>
  <c r="J123" i="3"/>
  <c r="J237" i="3"/>
  <c r="H131" i="3"/>
  <c r="J131" i="3" s="1"/>
  <c r="J245" i="3"/>
  <c r="J34" i="3"/>
  <c r="H261" i="3"/>
  <c r="J261" i="3" s="1"/>
  <c r="H40" i="3"/>
  <c r="J40" i="3" s="1"/>
  <c r="J271" i="3"/>
  <c r="H287" i="3"/>
  <c r="J287" i="3" s="1"/>
  <c r="J50" i="3"/>
  <c r="H150" i="3"/>
  <c r="J150" i="3" s="1"/>
  <c r="H158" i="3"/>
  <c r="J158" i="3" s="1"/>
  <c r="H173" i="3"/>
  <c r="J173" i="3" s="1"/>
  <c r="J89" i="3"/>
  <c r="H479" i="3"/>
  <c r="J479" i="3" s="1"/>
  <c r="H316" i="3"/>
  <c r="J316" i="3" s="1"/>
  <c r="H452" i="3"/>
  <c r="J452" i="3" s="1"/>
  <c r="H455" i="3"/>
  <c r="J455" i="3" s="1"/>
  <c r="J258" i="3"/>
  <c r="H134" i="3"/>
  <c r="J134" i="3" s="1"/>
  <c r="J268" i="3"/>
  <c r="J238" i="3"/>
  <c r="H124" i="3"/>
  <c r="J124" i="3" s="1"/>
  <c r="J35" i="3"/>
  <c r="H38" i="3"/>
  <c r="J38" i="3" s="1"/>
  <c r="H467" i="3"/>
  <c r="J467" i="3" s="1"/>
  <c r="H142" i="3"/>
  <c r="J142" i="3" s="1"/>
  <c r="J64" i="3"/>
  <c r="H169" i="3"/>
  <c r="J169" i="3" s="1"/>
  <c r="H391" i="3"/>
  <c r="J391" i="3" s="1"/>
  <c r="H186" i="3"/>
  <c r="J186" i="3" s="1"/>
  <c r="J328" i="3"/>
  <c r="H511" i="3"/>
  <c r="J511" i="3" s="1"/>
  <c r="H531" i="3"/>
  <c r="J531" i="3" s="1"/>
  <c r="H283" i="3"/>
  <c r="J283" i="3" s="1"/>
  <c r="H376" i="3"/>
  <c r="J376" i="3" s="1"/>
  <c r="H151" i="3"/>
  <c r="J151" i="3" s="1"/>
  <c r="H383" i="3"/>
  <c r="J383" i="3" s="1"/>
  <c r="J86" i="3"/>
  <c r="H110" i="3"/>
  <c r="J110" i="3" s="1"/>
  <c r="J551" i="3"/>
  <c r="J23" i="3"/>
  <c r="H24" i="3"/>
  <c r="J24" i="3" s="1"/>
  <c r="H39" i="3"/>
  <c r="J39" i="3" s="1"/>
  <c r="J247" i="3"/>
  <c r="H459" i="3"/>
  <c r="J459" i="3" s="1"/>
  <c r="J281" i="3"/>
  <c r="H281" i="3"/>
  <c r="H48" i="3"/>
  <c r="J48" i="3" s="1"/>
  <c r="H375" i="3"/>
  <c r="J375" i="3" s="1"/>
  <c r="H377" i="3"/>
  <c r="J377" i="3" s="1"/>
  <c r="H161" i="3"/>
  <c r="J161" i="3" s="1"/>
  <c r="J300" i="3"/>
  <c r="J326" i="3"/>
  <c r="H508" i="3"/>
  <c r="J508" i="3" s="1"/>
  <c r="H279" i="3"/>
  <c r="J279" i="3" s="1"/>
  <c r="J373" i="3"/>
  <c r="H293" i="3"/>
  <c r="J293" i="3" s="1"/>
  <c r="J472" i="3"/>
  <c r="H384" i="3"/>
  <c r="J384" i="3" s="1"/>
  <c r="H170" i="3"/>
  <c r="J170" i="3" s="1"/>
  <c r="H165" i="3"/>
  <c r="J165" i="3" s="1"/>
  <c r="H93" i="3"/>
  <c r="J93" i="3" s="1"/>
  <c r="H331" i="3"/>
  <c r="J331" i="3" s="1"/>
  <c r="H555" i="3"/>
  <c r="J555" i="3" s="1"/>
  <c r="H578" i="3"/>
  <c r="J578" i="3" s="1"/>
  <c r="H371" i="3"/>
  <c r="J371" i="3" s="1"/>
  <c r="H372" i="3"/>
  <c r="J372" i="3" s="1"/>
  <c r="H466" i="3"/>
  <c r="J466" i="3" s="1"/>
  <c r="H285" i="3"/>
  <c r="J285" i="3" s="1"/>
  <c r="H138" i="3"/>
  <c r="J138" i="3" s="1"/>
  <c r="H470" i="3"/>
  <c r="J470" i="3" s="1"/>
  <c r="H296" i="3"/>
  <c r="J296" i="3" s="1"/>
  <c r="H475" i="3"/>
  <c r="J475" i="3" s="1"/>
  <c r="J144" i="3"/>
  <c r="J152" i="3"/>
  <c r="H154" i="3"/>
  <c r="J154" i="3" s="1"/>
  <c r="H385" i="3"/>
  <c r="J385" i="3" s="1"/>
  <c r="H157" i="3"/>
  <c r="J157" i="3" s="1"/>
  <c r="H177" i="3"/>
  <c r="J177" i="3" s="1"/>
  <c r="J182" i="3"/>
  <c r="H74" i="3"/>
  <c r="J74" i="3" s="1"/>
  <c r="H187" i="3"/>
  <c r="J187" i="3" s="1"/>
  <c r="H77" i="3"/>
  <c r="J77" i="3" s="1"/>
  <c r="H309" i="3"/>
  <c r="J309" i="3" s="1"/>
  <c r="J312" i="3"/>
  <c r="H317" i="3"/>
  <c r="J317" i="3" s="1"/>
  <c r="H320" i="3"/>
  <c r="J320" i="3" s="1"/>
  <c r="H492" i="3"/>
  <c r="J492" i="3" s="1"/>
  <c r="H515" i="3"/>
  <c r="J515" i="3" s="1"/>
  <c r="J525" i="3"/>
  <c r="H532" i="3"/>
  <c r="J532" i="3" s="1"/>
  <c r="H535" i="3"/>
  <c r="J535" i="3" s="1"/>
  <c r="H538" i="3"/>
  <c r="J538" i="3" s="1"/>
  <c r="H397" i="3"/>
  <c r="J397" i="3" s="1"/>
  <c r="H344" i="3"/>
  <c r="J344" i="3" s="1"/>
  <c r="H52" i="3"/>
  <c r="J52" i="3" s="1"/>
  <c r="H379" i="3"/>
  <c r="J379" i="3" s="1"/>
  <c r="H386" i="3"/>
  <c r="J386" i="3" s="1"/>
  <c r="J63" i="3"/>
  <c r="H476" i="3"/>
  <c r="J476" i="3" s="1"/>
  <c r="J304" i="3"/>
  <c r="J69" i="3"/>
  <c r="H189" i="3"/>
  <c r="J189" i="3" s="1"/>
  <c r="J87" i="3"/>
  <c r="H100" i="3"/>
  <c r="J100" i="3" s="1"/>
  <c r="J307" i="3"/>
  <c r="J485" i="3"/>
  <c r="H321" i="3"/>
  <c r="J321" i="3" s="1"/>
  <c r="J497" i="3"/>
  <c r="H501" i="3"/>
  <c r="J501" i="3" s="1"/>
  <c r="J512" i="3"/>
  <c r="J522" i="3"/>
  <c r="H539" i="3"/>
  <c r="J539" i="3" s="1"/>
  <c r="J549" i="3"/>
  <c r="H398" i="3"/>
  <c r="J398" i="3" s="1"/>
  <c r="H405" i="3"/>
  <c r="J405" i="3" s="1"/>
  <c r="J413" i="3"/>
  <c r="J429" i="3"/>
  <c r="J194" i="3"/>
  <c r="H194" i="3"/>
  <c r="H101" i="3"/>
  <c r="J101" i="3" s="1"/>
  <c r="H502" i="3"/>
  <c r="J502" i="3" s="1"/>
  <c r="H406" i="3"/>
  <c r="J406" i="3" s="1"/>
  <c r="H570" i="3"/>
  <c r="J570" i="3" s="1"/>
  <c r="J181" i="3"/>
  <c r="H181" i="3"/>
  <c r="H81" i="3"/>
  <c r="J81" i="3" s="1"/>
  <c r="H84" i="3"/>
  <c r="J84" i="3" s="1"/>
  <c r="H486" i="3"/>
  <c r="J486" i="3" s="1"/>
  <c r="J318" i="3"/>
  <c r="H322" i="3"/>
  <c r="J322" i="3" s="1"/>
  <c r="H494" i="3"/>
  <c r="J494" i="3" s="1"/>
  <c r="H325" i="3"/>
  <c r="J325" i="3" s="1"/>
  <c r="H523" i="3"/>
  <c r="J523" i="3" s="1"/>
  <c r="J533" i="3"/>
  <c r="H540" i="3"/>
  <c r="J540" i="3" s="1"/>
  <c r="H543" i="3"/>
  <c r="J543" i="3" s="1"/>
  <c r="H546" i="3"/>
  <c r="J546" i="3" s="1"/>
  <c r="J399" i="3"/>
  <c r="H414" i="3"/>
  <c r="J414" i="3" s="1"/>
  <c r="H563" i="3"/>
  <c r="J563" i="3" s="1"/>
  <c r="J56" i="3"/>
  <c r="J148" i="3"/>
  <c r="J60" i="3"/>
  <c r="H299" i="3"/>
  <c r="J299" i="3" s="1"/>
  <c r="J166" i="3"/>
  <c r="H390" i="3"/>
  <c r="J390" i="3" s="1"/>
  <c r="J68" i="3"/>
  <c r="J73" i="3"/>
  <c r="H85" i="3"/>
  <c r="J85" i="3" s="1"/>
  <c r="J95" i="3"/>
  <c r="H108" i="3"/>
  <c r="J108" i="3" s="1"/>
  <c r="J483" i="3"/>
  <c r="J489" i="3"/>
  <c r="J496" i="3"/>
  <c r="H496" i="3"/>
  <c r="J499" i="3"/>
  <c r="H506" i="3"/>
  <c r="J506" i="3" s="1"/>
  <c r="J520" i="3"/>
  <c r="J530" i="3"/>
  <c r="H547" i="3"/>
  <c r="J547" i="3" s="1"/>
  <c r="J392" i="3"/>
  <c r="J403" i="3"/>
  <c r="J407" i="3"/>
  <c r="H440" i="3"/>
  <c r="J440" i="3" s="1"/>
  <c r="J195" i="3"/>
  <c r="J82" i="3"/>
  <c r="J92" i="3"/>
  <c r="H109" i="3"/>
  <c r="J109" i="3" s="1"/>
  <c r="J495" i="3"/>
  <c r="J330" i="3"/>
  <c r="H507" i="3"/>
  <c r="J507" i="3" s="1"/>
  <c r="J544" i="3"/>
  <c r="J554" i="3"/>
  <c r="J411" i="3"/>
  <c r="H432" i="3"/>
  <c r="J432" i="3" s="1"/>
  <c r="J573" i="3"/>
  <c r="H422" i="3"/>
  <c r="J422" i="3" s="1"/>
  <c r="H430" i="3"/>
  <c r="J430" i="3" s="1"/>
  <c r="H438" i="3"/>
  <c r="J438" i="3" s="1"/>
  <c r="H561" i="3"/>
  <c r="J561" i="3" s="1"/>
  <c r="H569" i="3"/>
  <c r="J569" i="3" s="1"/>
  <c r="H574" i="3"/>
  <c r="J574" i="3" s="1"/>
  <c r="H342" i="3"/>
  <c r="J342" i="3" s="1"/>
  <c r="H196" i="3"/>
  <c r="J196" i="3" s="1"/>
  <c r="H351" i="3"/>
  <c r="J351" i="3" s="1"/>
  <c r="H423" i="3"/>
  <c r="J423" i="3" s="1"/>
  <c r="H431" i="3"/>
  <c r="J431" i="3" s="1"/>
  <c r="H439" i="3"/>
  <c r="J439" i="3" s="1"/>
  <c r="H200" i="3"/>
  <c r="J200" i="3" s="1"/>
  <c r="G4" i="1"/>
  <c r="H4" i="1" s="1"/>
  <c r="J4" i="1" s="1"/>
  <c r="G5" i="1"/>
  <c r="H5" i="1" s="1"/>
  <c r="J5" i="1" s="1"/>
  <c r="G6" i="1"/>
  <c r="H6" i="1" s="1"/>
  <c r="J6" i="1" s="1"/>
  <c r="G7" i="1"/>
  <c r="G8" i="1"/>
  <c r="H8" i="1" s="1"/>
  <c r="J8" i="1" s="1"/>
  <c r="G9" i="1"/>
  <c r="H9" i="1" s="1"/>
  <c r="J9" i="1" s="1"/>
  <c r="G10" i="1"/>
  <c r="G11" i="1"/>
  <c r="G12" i="1"/>
  <c r="H12" i="1" s="1"/>
  <c r="J12" i="1" s="1"/>
  <c r="G13" i="1"/>
  <c r="H13" i="1" s="1"/>
  <c r="J13" i="1" s="1"/>
  <c r="G14" i="1"/>
  <c r="H14" i="1" s="1"/>
  <c r="J14" i="1" s="1"/>
  <c r="G15" i="1"/>
  <c r="H15" i="1" s="1"/>
  <c r="J15" i="1" s="1"/>
  <c r="G16" i="1"/>
  <c r="H16" i="1" s="1"/>
  <c r="J16" i="1" s="1"/>
  <c r="G17" i="1"/>
  <c r="H17" i="1" s="1"/>
  <c r="J17" i="1" s="1"/>
  <c r="G18" i="1"/>
  <c r="H18" i="1" s="1"/>
  <c r="J18" i="1" s="1"/>
  <c r="G19" i="1"/>
  <c r="H19" i="1" s="1"/>
  <c r="J19" i="1" s="1"/>
  <c r="G20" i="1"/>
  <c r="H20" i="1" s="1"/>
  <c r="J20" i="1" s="1"/>
  <c r="G21" i="1"/>
  <c r="H21" i="1" s="1"/>
  <c r="J21" i="1" s="1"/>
  <c r="G22" i="1"/>
  <c r="H22" i="1" s="1"/>
  <c r="J22" i="1" s="1"/>
  <c r="G23" i="1"/>
  <c r="H23" i="1" s="1"/>
  <c r="J23" i="1" s="1"/>
  <c r="G24" i="1"/>
  <c r="H24" i="1" s="1"/>
  <c r="J24" i="1" s="1"/>
  <c r="G25" i="1"/>
  <c r="H25" i="1" s="1"/>
  <c r="J25" i="1" s="1"/>
  <c r="G26" i="1"/>
  <c r="H26" i="1" s="1"/>
  <c r="J26" i="1" s="1"/>
  <c r="G27" i="1"/>
  <c r="H27" i="1" s="1"/>
  <c r="J27" i="1" s="1"/>
  <c r="G28" i="1"/>
  <c r="H28" i="1" s="1"/>
  <c r="J28" i="1" s="1"/>
  <c r="G29" i="1"/>
  <c r="H29" i="1" s="1"/>
  <c r="J29" i="1" s="1"/>
  <c r="G30" i="1"/>
  <c r="H30" i="1" s="1"/>
  <c r="J30" i="1" s="1"/>
  <c r="G31" i="1"/>
  <c r="H31" i="1" s="1"/>
  <c r="J31" i="1" s="1"/>
  <c r="G32" i="1"/>
  <c r="H32" i="1" s="1"/>
  <c r="J32" i="1" s="1"/>
  <c r="G33" i="1"/>
  <c r="H33" i="1" s="1"/>
  <c r="J33" i="1" s="1"/>
  <c r="G34" i="1"/>
  <c r="H34" i="1" s="1"/>
  <c r="J34" i="1" s="1"/>
  <c r="G35" i="1"/>
  <c r="H35" i="1" s="1"/>
  <c r="J35" i="1" s="1"/>
  <c r="G36" i="1"/>
  <c r="H36" i="1" s="1"/>
  <c r="J36" i="1" s="1"/>
  <c r="G37" i="1"/>
  <c r="H37" i="1" s="1"/>
  <c r="J37" i="1" s="1"/>
  <c r="G38" i="1"/>
  <c r="H38" i="1" s="1"/>
  <c r="J38" i="1" s="1"/>
  <c r="G39" i="1"/>
  <c r="H39" i="1" s="1"/>
  <c r="J39" i="1" s="1"/>
  <c r="G40" i="1"/>
  <c r="H40" i="1" s="1"/>
  <c r="J40" i="1" s="1"/>
  <c r="G41" i="1"/>
  <c r="H41" i="1" s="1"/>
  <c r="J41" i="1" s="1"/>
  <c r="G42" i="1"/>
  <c r="H42" i="1" s="1"/>
  <c r="J42" i="1" s="1"/>
  <c r="G43" i="1"/>
  <c r="H43" i="1" s="1"/>
  <c r="J43" i="1" s="1"/>
  <c r="G44" i="1"/>
  <c r="H44" i="1" s="1"/>
  <c r="J44" i="1" s="1"/>
  <c r="G45" i="1"/>
  <c r="H45" i="1" s="1"/>
  <c r="J45" i="1" s="1"/>
  <c r="G46" i="1"/>
  <c r="H46" i="1" s="1"/>
  <c r="J46" i="1" s="1"/>
  <c r="G47" i="1"/>
  <c r="H47" i="1" s="1"/>
  <c r="J47" i="1" s="1"/>
  <c r="G48" i="1"/>
  <c r="G49" i="1"/>
  <c r="H49" i="1" s="1"/>
  <c r="J49" i="1" s="1"/>
  <c r="G50" i="1"/>
  <c r="H50" i="1" s="1"/>
  <c r="J50" i="1" s="1"/>
  <c r="G51" i="1"/>
  <c r="H51" i="1" s="1"/>
  <c r="J51" i="1" s="1"/>
  <c r="G52" i="1"/>
  <c r="H52" i="1" s="1"/>
  <c r="J52" i="1" s="1"/>
  <c r="G53" i="1"/>
  <c r="H53" i="1" s="1"/>
  <c r="J53" i="1" s="1"/>
  <c r="G54" i="1"/>
  <c r="H54" i="1" s="1"/>
  <c r="J54" i="1" s="1"/>
  <c r="G55" i="1"/>
  <c r="H55" i="1" s="1"/>
  <c r="J55" i="1" s="1"/>
  <c r="G56" i="1"/>
  <c r="H56" i="1" s="1"/>
  <c r="J56" i="1" s="1"/>
  <c r="G57" i="1"/>
  <c r="H57" i="1" s="1"/>
  <c r="J57" i="1" s="1"/>
  <c r="G58" i="1"/>
  <c r="H58" i="1" s="1"/>
  <c r="J58" i="1" s="1"/>
  <c r="G59" i="1"/>
  <c r="H59" i="1" s="1"/>
  <c r="J59" i="1" s="1"/>
  <c r="G60" i="1"/>
  <c r="H60" i="1" s="1"/>
  <c r="J60" i="1" s="1"/>
  <c r="G61" i="1"/>
  <c r="H61" i="1" s="1"/>
  <c r="J61" i="1" s="1"/>
  <c r="G62" i="1"/>
  <c r="H62" i="1" s="1"/>
  <c r="J62" i="1" s="1"/>
  <c r="G63" i="1"/>
  <c r="H63" i="1" s="1"/>
  <c r="J63" i="1" s="1"/>
  <c r="G64" i="1"/>
  <c r="H64" i="1" s="1"/>
  <c r="J64" i="1" s="1"/>
  <c r="G65" i="1"/>
  <c r="H65" i="1" s="1"/>
  <c r="J65" i="1" s="1"/>
  <c r="G66" i="1"/>
  <c r="H66" i="1" s="1"/>
  <c r="J66" i="1" s="1"/>
  <c r="G67" i="1"/>
  <c r="H67" i="1" s="1"/>
  <c r="J67" i="1" s="1"/>
  <c r="G68" i="1"/>
  <c r="H68" i="1" s="1"/>
  <c r="J68" i="1" s="1"/>
  <c r="G69" i="1"/>
  <c r="H69" i="1" s="1"/>
  <c r="J69" i="1" s="1"/>
  <c r="G70" i="1"/>
  <c r="H70" i="1" s="1"/>
  <c r="J70" i="1" s="1"/>
  <c r="G71" i="1"/>
  <c r="H71" i="1" s="1"/>
  <c r="J71" i="1" s="1"/>
  <c r="G72" i="1"/>
  <c r="H72" i="1" s="1"/>
  <c r="J72" i="1" s="1"/>
  <c r="G73" i="1"/>
  <c r="H73" i="1" s="1"/>
  <c r="J73" i="1" s="1"/>
  <c r="G74" i="1"/>
  <c r="H74" i="1" s="1"/>
  <c r="J74" i="1" s="1"/>
  <c r="G75" i="1"/>
  <c r="H75" i="1" s="1"/>
  <c r="J75" i="1" s="1"/>
  <c r="G76" i="1"/>
  <c r="H76" i="1" s="1"/>
  <c r="J76" i="1" s="1"/>
  <c r="G77" i="1"/>
  <c r="H77" i="1" s="1"/>
  <c r="J77" i="1" s="1"/>
  <c r="G78" i="1"/>
  <c r="H78" i="1" s="1"/>
  <c r="J78" i="1" s="1"/>
  <c r="G79" i="1"/>
  <c r="H79" i="1" s="1"/>
  <c r="J79" i="1" s="1"/>
  <c r="G80" i="1"/>
  <c r="H80" i="1" s="1"/>
  <c r="J80" i="1" s="1"/>
  <c r="G81" i="1"/>
  <c r="H81" i="1" s="1"/>
  <c r="J81" i="1" s="1"/>
  <c r="G82" i="1"/>
  <c r="H82" i="1" s="1"/>
  <c r="J82" i="1" s="1"/>
  <c r="G83" i="1"/>
  <c r="H83" i="1" s="1"/>
  <c r="J83" i="1" s="1"/>
  <c r="G84" i="1"/>
  <c r="H84" i="1" s="1"/>
  <c r="J84" i="1" s="1"/>
  <c r="G85" i="1"/>
  <c r="H85" i="1" s="1"/>
  <c r="J85" i="1" s="1"/>
  <c r="G86" i="1"/>
  <c r="H86" i="1" s="1"/>
  <c r="J86" i="1" s="1"/>
  <c r="G87" i="1"/>
  <c r="H87" i="1" s="1"/>
  <c r="J87" i="1" s="1"/>
  <c r="G88" i="1"/>
  <c r="H88" i="1" s="1"/>
  <c r="J88" i="1" s="1"/>
  <c r="G89" i="1"/>
  <c r="H89" i="1" s="1"/>
  <c r="J89" i="1" s="1"/>
  <c r="G90" i="1"/>
  <c r="H90" i="1" s="1"/>
  <c r="J90" i="1" s="1"/>
  <c r="G91" i="1"/>
  <c r="H91" i="1" s="1"/>
  <c r="J91" i="1" s="1"/>
  <c r="G92" i="1"/>
  <c r="H92" i="1" s="1"/>
  <c r="J92" i="1" s="1"/>
  <c r="G93" i="1"/>
  <c r="H93" i="1" s="1"/>
  <c r="J93" i="1" s="1"/>
  <c r="G94" i="1"/>
  <c r="H94" i="1" s="1"/>
  <c r="J94" i="1" s="1"/>
  <c r="G95" i="1"/>
  <c r="H95" i="1" s="1"/>
  <c r="J95" i="1" s="1"/>
  <c r="G96" i="1"/>
  <c r="H96" i="1" s="1"/>
  <c r="J96" i="1" s="1"/>
  <c r="G97" i="1"/>
  <c r="H97" i="1" s="1"/>
  <c r="J97" i="1" s="1"/>
  <c r="G98" i="1"/>
  <c r="H98" i="1" s="1"/>
  <c r="J98" i="1" s="1"/>
  <c r="G99" i="1"/>
  <c r="H99" i="1" s="1"/>
  <c r="J99" i="1" s="1"/>
  <c r="G100" i="1"/>
  <c r="H100" i="1" s="1"/>
  <c r="J100" i="1" s="1"/>
  <c r="G101" i="1"/>
  <c r="H101" i="1" s="1"/>
  <c r="J101" i="1" s="1"/>
  <c r="G102" i="1"/>
  <c r="H102" i="1" s="1"/>
  <c r="J102" i="1" s="1"/>
  <c r="G103" i="1"/>
  <c r="H103" i="1" s="1"/>
  <c r="J103" i="1" s="1"/>
  <c r="G104" i="1"/>
  <c r="H104" i="1" s="1"/>
  <c r="J104" i="1" s="1"/>
  <c r="G105" i="1"/>
  <c r="H105" i="1" s="1"/>
  <c r="J105" i="1" s="1"/>
  <c r="G106" i="1"/>
  <c r="H106" i="1" s="1"/>
  <c r="J106" i="1" s="1"/>
  <c r="G107" i="1"/>
  <c r="H107" i="1" s="1"/>
  <c r="J107" i="1" s="1"/>
  <c r="G108" i="1"/>
  <c r="H108" i="1" s="1"/>
  <c r="J108" i="1" s="1"/>
  <c r="G109" i="1"/>
  <c r="H109" i="1" s="1"/>
  <c r="J109" i="1" s="1"/>
  <c r="G110" i="1"/>
  <c r="H110" i="1" s="1"/>
  <c r="J110" i="1" s="1"/>
  <c r="G111" i="1"/>
  <c r="H111" i="1" s="1"/>
  <c r="J111" i="1" s="1"/>
  <c r="G112" i="1"/>
  <c r="G113" i="1"/>
  <c r="H113" i="1" s="1"/>
  <c r="J113" i="1" s="1"/>
  <c r="G114" i="1"/>
  <c r="H114" i="1" s="1"/>
  <c r="J114" i="1" s="1"/>
  <c r="G115" i="1"/>
  <c r="H115" i="1" s="1"/>
  <c r="J115" i="1" s="1"/>
  <c r="G116" i="1"/>
  <c r="H116" i="1" s="1"/>
  <c r="J116" i="1" s="1"/>
  <c r="G117" i="1"/>
  <c r="H117" i="1" s="1"/>
  <c r="J117" i="1" s="1"/>
  <c r="G118" i="1"/>
  <c r="H118" i="1" s="1"/>
  <c r="J118" i="1" s="1"/>
  <c r="G119" i="1"/>
  <c r="H119" i="1" s="1"/>
  <c r="J119" i="1" s="1"/>
  <c r="G120" i="1"/>
  <c r="H120" i="1" s="1"/>
  <c r="J120" i="1" s="1"/>
  <c r="G121" i="1"/>
  <c r="H121" i="1" s="1"/>
  <c r="J121" i="1" s="1"/>
  <c r="G122" i="1"/>
  <c r="H122" i="1" s="1"/>
  <c r="J122" i="1" s="1"/>
  <c r="G123" i="1"/>
  <c r="H123" i="1" s="1"/>
  <c r="J123" i="1" s="1"/>
  <c r="G124" i="1"/>
  <c r="H124" i="1" s="1"/>
  <c r="J124" i="1" s="1"/>
  <c r="G125" i="1"/>
  <c r="H125" i="1" s="1"/>
  <c r="J125" i="1" s="1"/>
  <c r="G126" i="1"/>
  <c r="H126" i="1" s="1"/>
  <c r="J126" i="1" s="1"/>
  <c r="G127" i="1"/>
  <c r="H127" i="1" s="1"/>
  <c r="J127" i="1" s="1"/>
  <c r="G128" i="1"/>
  <c r="H128" i="1" s="1"/>
  <c r="J128" i="1" s="1"/>
  <c r="G129" i="1"/>
  <c r="H129" i="1" s="1"/>
  <c r="J129" i="1" s="1"/>
  <c r="G130" i="1"/>
  <c r="H130" i="1" s="1"/>
  <c r="J130" i="1" s="1"/>
  <c r="G131" i="1"/>
  <c r="H131" i="1" s="1"/>
  <c r="J131" i="1" s="1"/>
  <c r="G132" i="1"/>
  <c r="H132" i="1" s="1"/>
  <c r="J132" i="1" s="1"/>
  <c r="G133" i="1"/>
  <c r="H133" i="1" s="1"/>
  <c r="J133" i="1" s="1"/>
  <c r="G134" i="1"/>
  <c r="H134" i="1" s="1"/>
  <c r="J134" i="1" s="1"/>
  <c r="G135" i="1"/>
  <c r="H135" i="1" s="1"/>
  <c r="J135" i="1" s="1"/>
  <c r="G136" i="1"/>
  <c r="H136" i="1" s="1"/>
  <c r="J136" i="1" s="1"/>
  <c r="G137" i="1"/>
  <c r="H137" i="1" s="1"/>
  <c r="J137" i="1" s="1"/>
  <c r="G138" i="1"/>
  <c r="H138" i="1" s="1"/>
  <c r="J138" i="1" s="1"/>
  <c r="G139" i="1"/>
  <c r="H139" i="1" s="1"/>
  <c r="J139" i="1" s="1"/>
  <c r="G140" i="1"/>
  <c r="H140" i="1" s="1"/>
  <c r="J140" i="1" s="1"/>
  <c r="G141" i="1"/>
  <c r="H141" i="1" s="1"/>
  <c r="J141" i="1" s="1"/>
  <c r="G142" i="1"/>
  <c r="H142" i="1" s="1"/>
  <c r="J142" i="1" s="1"/>
  <c r="G143" i="1"/>
  <c r="H143" i="1" s="1"/>
  <c r="J143" i="1" s="1"/>
  <c r="G144" i="1"/>
  <c r="H144" i="1" s="1"/>
  <c r="J144" i="1" s="1"/>
  <c r="G145" i="1"/>
  <c r="H145" i="1" s="1"/>
  <c r="J145" i="1" s="1"/>
  <c r="G146" i="1"/>
  <c r="H146" i="1" s="1"/>
  <c r="J146" i="1" s="1"/>
  <c r="G147" i="1"/>
  <c r="H147" i="1" s="1"/>
  <c r="J147" i="1" s="1"/>
  <c r="G148" i="1"/>
  <c r="H148" i="1" s="1"/>
  <c r="J148" i="1" s="1"/>
  <c r="G149" i="1"/>
  <c r="H149" i="1" s="1"/>
  <c r="J149" i="1" s="1"/>
  <c r="G150" i="1"/>
  <c r="H150" i="1" s="1"/>
  <c r="J150" i="1" s="1"/>
  <c r="G151" i="1"/>
  <c r="H151" i="1" s="1"/>
  <c r="J151" i="1" s="1"/>
  <c r="G152" i="1"/>
  <c r="H152" i="1" s="1"/>
  <c r="J152" i="1" s="1"/>
  <c r="G153" i="1"/>
  <c r="H153" i="1" s="1"/>
  <c r="J153" i="1" s="1"/>
  <c r="G154" i="1"/>
  <c r="H154" i="1" s="1"/>
  <c r="J154" i="1" s="1"/>
  <c r="G155" i="1"/>
  <c r="H155" i="1" s="1"/>
  <c r="J155" i="1" s="1"/>
  <c r="G156" i="1"/>
  <c r="H156" i="1" s="1"/>
  <c r="J156" i="1" s="1"/>
  <c r="G157" i="1"/>
  <c r="H157" i="1" s="1"/>
  <c r="J157" i="1" s="1"/>
  <c r="G158" i="1"/>
  <c r="H158" i="1" s="1"/>
  <c r="J158" i="1" s="1"/>
  <c r="G159" i="1"/>
  <c r="H159" i="1" s="1"/>
  <c r="J159" i="1" s="1"/>
  <c r="G160" i="1"/>
  <c r="H160" i="1" s="1"/>
  <c r="J160" i="1" s="1"/>
  <c r="G161" i="1"/>
  <c r="H161" i="1" s="1"/>
  <c r="J161" i="1" s="1"/>
  <c r="G162" i="1"/>
  <c r="H162" i="1" s="1"/>
  <c r="J162" i="1" s="1"/>
  <c r="G163" i="1"/>
  <c r="H163" i="1" s="1"/>
  <c r="J163" i="1" s="1"/>
  <c r="G164" i="1"/>
  <c r="H164" i="1" s="1"/>
  <c r="J164" i="1" s="1"/>
  <c r="G165" i="1"/>
  <c r="H165" i="1" s="1"/>
  <c r="J165" i="1" s="1"/>
  <c r="G166" i="1"/>
  <c r="H166" i="1" s="1"/>
  <c r="J166" i="1" s="1"/>
  <c r="G167" i="1"/>
  <c r="H167" i="1" s="1"/>
  <c r="J167" i="1" s="1"/>
  <c r="G168" i="1"/>
  <c r="H168" i="1" s="1"/>
  <c r="J168" i="1" s="1"/>
  <c r="G169" i="1"/>
  <c r="H169" i="1" s="1"/>
  <c r="J169" i="1" s="1"/>
  <c r="G170" i="1"/>
  <c r="H170" i="1" s="1"/>
  <c r="J170" i="1" s="1"/>
  <c r="G171" i="1"/>
  <c r="H171" i="1" s="1"/>
  <c r="J171" i="1" s="1"/>
  <c r="G172" i="1"/>
  <c r="H172" i="1" s="1"/>
  <c r="J172" i="1" s="1"/>
  <c r="G173" i="1"/>
  <c r="H173" i="1" s="1"/>
  <c r="J173" i="1" s="1"/>
  <c r="G174" i="1"/>
  <c r="H174" i="1" s="1"/>
  <c r="J174" i="1" s="1"/>
  <c r="G175" i="1"/>
  <c r="H175" i="1" s="1"/>
  <c r="J175" i="1" s="1"/>
  <c r="G176" i="1"/>
  <c r="G177" i="1"/>
  <c r="H177" i="1" s="1"/>
  <c r="J177" i="1" s="1"/>
  <c r="G178" i="1"/>
  <c r="H178" i="1" s="1"/>
  <c r="J178" i="1" s="1"/>
  <c r="G179" i="1"/>
  <c r="H179" i="1" s="1"/>
  <c r="J179" i="1" s="1"/>
  <c r="G180" i="1"/>
  <c r="H180" i="1" s="1"/>
  <c r="J180" i="1" s="1"/>
  <c r="G181" i="1"/>
  <c r="H181" i="1" s="1"/>
  <c r="J181" i="1" s="1"/>
  <c r="G182" i="1"/>
  <c r="H182" i="1" s="1"/>
  <c r="J182" i="1" s="1"/>
  <c r="G183" i="1"/>
  <c r="H183" i="1" s="1"/>
  <c r="J183" i="1" s="1"/>
  <c r="G184" i="1"/>
  <c r="H184" i="1" s="1"/>
  <c r="J184" i="1" s="1"/>
  <c r="G185" i="1"/>
  <c r="H185" i="1" s="1"/>
  <c r="J185" i="1" s="1"/>
  <c r="G186" i="1"/>
  <c r="H186" i="1" s="1"/>
  <c r="J186" i="1" s="1"/>
  <c r="G187" i="1"/>
  <c r="H187" i="1" s="1"/>
  <c r="J187" i="1" s="1"/>
  <c r="G188" i="1"/>
  <c r="H188" i="1" s="1"/>
  <c r="J188" i="1" s="1"/>
  <c r="G189" i="1"/>
  <c r="H189" i="1" s="1"/>
  <c r="J189" i="1" s="1"/>
  <c r="G190" i="1"/>
  <c r="H190" i="1" s="1"/>
  <c r="J190" i="1" s="1"/>
  <c r="G191" i="1"/>
  <c r="H191" i="1" s="1"/>
  <c r="J191" i="1" s="1"/>
  <c r="G192" i="1"/>
  <c r="H192" i="1" s="1"/>
  <c r="J192" i="1" s="1"/>
  <c r="G193" i="1"/>
  <c r="H193" i="1" s="1"/>
  <c r="J193" i="1" s="1"/>
  <c r="G194" i="1"/>
  <c r="H194" i="1" s="1"/>
  <c r="J194" i="1" s="1"/>
  <c r="G195" i="1"/>
  <c r="H195" i="1" s="1"/>
  <c r="J195" i="1" s="1"/>
  <c r="G196" i="1"/>
  <c r="H196" i="1" s="1"/>
  <c r="J196" i="1" s="1"/>
  <c r="G197" i="1"/>
  <c r="H197" i="1" s="1"/>
  <c r="J197" i="1" s="1"/>
  <c r="G198" i="1"/>
  <c r="H198" i="1" s="1"/>
  <c r="J198" i="1" s="1"/>
  <c r="G199" i="1"/>
  <c r="H199" i="1" s="1"/>
  <c r="J199" i="1" s="1"/>
  <c r="G200" i="1"/>
  <c r="H200" i="1" s="1"/>
  <c r="J200" i="1" s="1"/>
  <c r="G201" i="1"/>
  <c r="H201" i="1" s="1"/>
  <c r="J201" i="1" s="1"/>
  <c r="G202" i="1"/>
  <c r="H202" i="1" s="1"/>
  <c r="J202" i="1" s="1"/>
  <c r="G203" i="1"/>
  <c r="H203" i="1" s="1"/>
  <c r="J203" i="1" s="1"/>
  <c r="G204" i="1"/>
  <c r="H204" i="1" s="1"/>
  <c r="J204" i="1" s="1"/>
  <c r="G205" i="1"/>
  <c r="H205" i="1" s="1"/>
  <c r="J205" i="1" s="1"/>
  <c r="G206" i="1"/>
  <c r="H206" i="1" s="1"/>
  <c r="J206" i="1" s="1"/>
  <c r="G207" i="1"/>
  <c r="H207" i="1" s="1"/>
  <c r="J207" i="1" s="1"/>
  <c r="G208" i="1"/>
  <c r="H208" i="1" s="1"/>
  <c r="J208" i="1" s="1"/>
  <c r="G209" i="1"/>
  <c r="H209" i="1" s="1"/>
  <c r="J209" i="1" s="1"/>
  <c r="G210" i="1"/>
  <c r="H210" i="1" s="1"/>
  <c r="J210" i="1" s="1"/>
  <c r="G211" i="1"/>
  <c r="H211" i="1" s="1"/>
  <c r="J211" i="1" s="1"/>
  <c r="G212" i="1"/>
  <c r="H212" i="1" s="1"/>
  <c r="J212" i="1" s="1"/>
  <c r="G213" i="1"/>
  <c r="H213" i="1" s="1"/>
  <c r="J213" i="1" s="1"/>
  <c r="G214" i="1"/>
  <c r="H214" i="1" s="1"/>
  <c r="J214" i="1" s="1"/>
  <c r="G215" i="1"/>
  <c r="H215" i="1" s="1"/>
  <c r="J215" i="1" s="1"/>
  <c r="G216" i="1"/>
  <c r="H216" i="1" s="1"/>
  <c r="J216" i="1" s="1"/>
  <c r="G217" i="1"/>
  <c r="H217" i="1" s="1"/>
  <c r="J217" i="1" s="1"/>
  <c r="G218" i="1"/>
  <c r="H218" i="1" s="1"/>
  <c r="J218" i="1" s="1"/>
  <c r="G219" i="1"/>
  <c r="H219" i="1" s="1"/>
  <c r="J219" i="1" s="1"/>
  <c r="G220" i="1"/>
  <c r="H220" i="1" s="1"/>
  <c r="J220" i="1" s="1"/>
  <c r="G221" i="1"/>
  <c r="H221" i="1" s="1"/>
  <c r="J221" i="1" s="1"/>
  <c r="G222" i="1"/>
  <c r="H222" i="1" s="1"/>
  <c r="J222" i="1" s="1"/>
  <c r="G223" i="1"/>
  <c r="H223" i="1" s="1"/>
  <c r="J223" i="1" s="1"/>
  <c r="G224" i="1"/>
  <c r="H224" i="1" s="1"/>
  <c r="J224" i="1" s="1"/>
  <c r="G225" i="1"/>
  <c r="H225" i="1" s="1"/>
  <c r="J225" i="1" s="1"/>
  <c r="G226" i="1"/>
  <c r="H226" i="1" s="1"/>
  <c r="J226" i="1" s="1"/>
  <c r="G227" i="1"/>
  <c r="H227" i="1" s="1"/>
  <c r="J227" i="1" s="1"/>
  <c r="G228" i="1"/>
  <c r="H228" i="1" s="1"/>
  <c r="J228" i="1" s="1"/>
  <c r="G229" i="1"/>
  <c r="H229" i="1" s="1"/>
  <c r="J229" i="1" s="1"/>
  <c r="G230" i="1"/>
  <c r="H230" i="1" s="1"/>
  <c r="J230" i="1" s="1"/>
  <c r="G231" i="1"/>
  <c r="H231" i="1" s="1"/>
  <c r="J231" i="1" s="1"/>
  <c r="G232" i="1"/>
  <c r="H232" i="1" s="1"/>
  <c r="J232" i="1" s="1"/>
  <c r="G233" i="1"/>
  <c r="H233" i="1" s="1"/>
  <c r="J233" i="1" s="1"/>
  <c r="G234" i="1"/>
  <c r="H234" i="1" s="1"/>
  <c r="J234" i="1" s="1"/>
  <c r="G235" i="1"/>
  <c r="H235" i="1" s="1"/>
  <c r="J235" i="1" s="1"/>
  <c r="G236" i="1"/>
  <c r="H236" i="1" s="1"/>
  <c r="J236" i="1" s="1"/>
  <c r="G237" i="1"/>
  <c r="H237" i="1" s="1"/>
  <c r="J237" i="1" s="1"/>
  <c r="G238" i="1"/>
  <c r="H238" i="1" s="1"/>
  <c r="J238" i="1" s="1"/>
  <c r="G239" i="1"/>
  <c r="H239" i="1" s="1"/>
  <c r="J239" i="1" s="1"/>
  <c r="G240" i="1"/>
  <c r="G241" i="1"/>
  <c r="H241" i="1" s="1"/>
  <c r="J241" i="1" s="1"/>
  <c r="G242" i="1"/>
  <c r="H242" i="1" s="1"/>
  <c r="J242" i="1" s="1"/>
  <c r="G243" i="1"/>
  <c r="H243" i="1" s="1"/>
  <c r="J243" i="1" s="1"/>
  <c r="G244" i="1"/>
  <c r="H244" i="1" s="1"/>
  <c r="J244" i="1" s="1"/>
  <c r="G245" i="1"/>
  <c r="H245" i="1" s="1"/>
  <c r="J245" i="1" s="1"/>
  <c r="G246" i="1"/>
  <c r="H246" i="1" s="1"/>
  <c r="J246" i="1" s="1"/>
  <c r="G247" i="1"/>
  <c r="H247" i="1" s="1"/>
  <c r="J247" i="1" s="1"/>
  <c r="G248" i="1"/>
  <c r="H248" i="1" s="1"/>
  <c r="J248" i="1" s="1"/>
  <c r="G249" i="1"/>
  <c r="H249" i="1" s="1"/>
  <c r="J249" i="1" s="1"/>
  <c r="G250" i="1"/>
  <c r="H250" i="1" s="1"/>
  <c r="J250" i="1" s="1"/>
  <c r="G251" i="1"/>
  <c r="H251" i="1" s="1"/>
  <c r="J251" i="1" s="1"/>
  <c r="G252" i="1"/>
  <c r="H252" i="1" s="1"/>
  <c r="J252" i="1" s="1"/>
  <c r="G253" i="1"/>
  <c r="H253" i="1" s="1"/>
  <c r="J253" i="1" s="1"/>
  <c r="G254" i="1"/>
  <c r="H254" i="1" s="1"/>
  <c r="J254" i="1" s="1"/>
  <c r="G255" i="1"/>
  <c r="H255" i="1" s="1"/>
  <c r="J255" i="1" s="1"/>
  <c r="G256" i="1"/>
  <c r="H256" i="1" s="1"/>
  <c r="J256" i="1" s="1"/>
  <c r="G257" i="1"/>
  <c r="H257" i="1" s="1"/>
  <c r="J257" i="1" s="1"/>
  <c r="G258" i="1"/>
  <c r="H258" i="1" s="1"/>
  <c r="J258" i="1" s="1"/>
  <c r="G259" i="1"/>
  <c r="H259" i="1" s="1"/>
  <c r="J259" i="1" s="1"/>
  <c r="G260" i="1"/>
  <c r="H260" i="1" s="1"/>
  <c r="J260" i="1" s="1"/>
  <c r="G261" i="1"/>
  <c r="H261" i="1" s="1"/>
  <c r="J261" i="1" s="1"/>
  <c r="G262" i="1"/>
  <c r="H262" i="1" s="1"/>
  <c r="J262" i="1" s="1"/>
  <c r="G263" i="1"/>
  <c r="H263" i="1" s="1"/>
  <c r="J263" i="1" s="1"/>
  <c r="G264" i="1"/>
  <c r="H264" i="1" s="1"/>
  <c r="J264" i="1" s="1"/>
  <c r="G265" i="1"/>
  <c r="H265" i="1" s="1"/>
  <c r="J265" i="1" s="1"/>
  <c r="G266" i="1"/>
  <c r="H266" i="1" s="1"/>
  <c r="J266" i="1" s="1"/>
  <c r="G267" i="1"/>
  <c r="H267" i="1" s="1"/>
  <c r="J267" i="1" s="1"/>
  <c r="G268" i="1"/>
  <c r="H268" i="1" s="1"/>
  <c r="J268" i="1" s="1"/>
  <c r="G269" i="1"/>
  <c r="H269" i="1" s="1"/>
  <c r="J269" i="1" s="1"/>
  <c r="G270" i="1"/>
  <c r="H270" i="1" s="1"/>
  <c r="J270" i="1" s="1"/>
  <c r="G271" i="1"/>
  <c r="H271" i="1" s="1"/>
  <c r="J271" i="1" s="1"/>
  <c r="G272" i="1"/>
  <c r="H272" i="1" s="1"/>
  <c r="J272" i="1" s="1"/>
  <c r="G273" i="1"/>
  <c r="H273" i="1" s="1"/>
  <c r="J273" i="1" s="1"/>
  <c r="G274" i="1"/>
  <c r="H274" i="1" s="1"/>
  <c r="J274" i="1" s="1"/>
  <c r="G275" i="1"/>
  <c r="H275" i="1" s="1"/>
  <c r="J275" i="1" s="1"/>
  <c r="G276" i="1"/>
  <c r="H276" i="1" s="1"/>
  <c r="J276" i="1" s="1"/>
  <c r="G277" i="1"/>
  <c r="H277" i="1" s="1"/>
  <c r="J277" i="1" s="1"/>
  <c r="G278" i="1"/>
  <c r="H278" i="1" s="1"/>
  <c r="J278" i="1" s="1"/>
  <c r="G279" i="1"/>
  <c r="H279" i="1" s="1"/>
  <c r="J279" i="1" s="1"/>
  <c r="G280" i="1"/>
  <c r="H280" i="1" s="1"/>
  <c r="J280" i="1" s="1"/>
  <c r="G281" i="1"/>
  <c r="H281" i="1" s="1"/>
  <c r="J281" i="1" s="1"/>
  <c r="G282" i="1"/>
  <c r="H282" i="1" s="1"/>
  <c r="J282" i="1" s="1"/>
  <c r="G283" i="1"/>
  <c r="H283" i="1" s="1"/>
  <c r="J283" i="1" s="1"/>
  <c r="G284" i="1"/>
  <c r="H284" i="1" s="1"/>
  <c r="J284" i="1" s="1"/>
  <c r="G285" i="1"/>
  <c r="H285" i="1" s="1"/>
  <c r="J285" i="1" s="1"/>
  <c r="G286" i="1"/>
  <c r="H286" i="1" s="1"/>
  <c r="J286" i="1" s="1"/>
  <c r="G287" i="1"/>
  <c r="H287" i="1" s="1"/>
  <c r="J287" i="1" s="1"/>
  <c r="G288" i="1"/>
  <c r="H288" i="1" s="1"/>
  <c r="J288" i="1" s="1"/>
  <c r="G289" i="1"/>
  <c r="H289" i="1" s="1"/>
  <c r="J289" i="1" s="1"/>
  <c r="G290" i="1"/>
  <c r="H290" i="1" s="1"/>
  <c r="J290" i="1" s="1"/>
  <c r="G291" i="1"/>
  <c r="H291" i="1" s="1"/>
  <c r="J291" i="1" s="1"/>
  <c r="G292" i="1"/>
  <c r="H292" i="1" s="1"/>
  <c r="J292" i="1" s="1"/>
  <c r="G293" i="1"/>
  <c r="H293" i="1" s="1"/>
  <c r="J293" i="1" s="1"/>
  <c r="G294" i="1"/>
  <c r="H294" i="1" s="1"/>
  <c r="J294" i="1" s="1"/>
  <c r="G295" i="1"/>
  <c r="H295" i="1" s="1"/>
  <c r="J295" i="1" s="1"/>
  <c r="G296" i="1"/>
  <c r="H296" i="1" s="1"/>
  <c r="J296" i="1" s="1"/>
  <c r="G297" i="1"/>
  <c r="H297" i="1" s="1"/>
  <c r="J297" i="1" s="1"/>
  <c r="G298" i="1"/>
  <c r="H298" i="1" s="1"/>
  <c r="J298" i="1" s="1"/>
  <c r="G299" i="1"/>
  <c r="H299" i="1" s="1"/>
  <c r="J299" i="1" s="1"/>
  <c r="G300" i="1"/>
  <c r="H300" i="1" s="1"/>
  <c r="J300" i="1" s="1"/>
  <c r="G301" i="1"/>
  <c r="H301" i="1" s="1"/>
  <c r="J301" i="1" s="1"/>
  <c r="G302" i="1"/>
  <c r="H302" i="1" s="1"/>
  <c r="J302" i="1" s="1"/>
  <c r="G303" i="1"/>
  <c r="H303" i="1" s="1"/>
  <c r="J303" i="1" s="1"/>
  <c r="G304" i="1"/>
  <c r="H304" i="1" s="1"/>
  <c r="G305" i="1"/>
  <c r="H305" i="1" s="1"/>
  <c r="J305" i="1" s="1"/>
  <c r="G306" i="1"/>
  <c r="H306" i="1" s="1"/>
  <c r="J306" i="1" s="1"/>
  <c r="G307" i="1"/>
  <c r="H307" i="1" s="1"/>
  <c r="J307" i="1" s="1"/>
  <c r="G308" i="1"/>
  <c r="H308" i="1" s="1"/>
  <c r="J308" i="1" s="1"/>
  <c r="G309" i="1"/>
  <c r="H309" i="1" s="1"/>
  <c r="J309" i="1" s="1"/>
  <c r="G310" i="1"/>
  <c r="H310" i="1" s="1"/>
  <c r="J310" i="1" s="1"/>
  <c r="G311" i="1"/>
  <c r="H311" i="1" s="1"/>
  <c r="J311" i="1" s="1"/>
  <c r="G312" i="1"/>
  <c r="H312" i="1" s="1"/>
  <c r="J312" i="1" s="1"/>
  <c r="G313" i="1"/>
  <c r="H313" i="1" s="1"/>
  <c r="J313" i="1" s="1"/>
  <c r="G314" i="1"/>
  <c r="H314" i="1" s="1"/>
  <c r="J314" i="1" s="1"/>
  <c r="G315" i="1"/>
  <c r="H315" i="1" s="1"/>
  <c r="J315" i="1" s="1"/>
  <c r="G316" i="1"/>
  <c r="H316" i="1" s="1"/>
  <c r="J316" i="1" s="1"/>
  <c r="G317" i="1"/>
  <c r="H317" i="1" s="1"/>
  <c r="J317" i="1" s="1"/>
  <c r="G318" i="1"/>
  <c r="H318" i="1" s="1"/>
  <c r="J318" i="1" s="1"/>
  <c r="G319" i="1"/>
  <c r="H319" i="1" s="1"/>
  <c r="J319" i="1" s="1"/>
  <c r="G320" i="1"/>
  <c r="H320" i="1" s="1"/>
  <c r="J320" i="1" s="1"/>
  <c r="G321" i="1"/>
  <c r="H321" i="1" s="1"/>
  <c r="J321" i="1" s="1"/>
  <c r="G322" i="1"/>
  <c r="H322" i="1" s="1"/>
  <c r="J322" i="1" s="1"/>
  <c r="G323" i="1"/>
  <c r="H323" i="1" s="1"/>
  <c r="J323" i="1" s="1"/>
  <c r="G324" i="1"/>
  <c r="H324" i="1" s="1"/>
  <c r="J324" i="1" s="1"/>
  <c r="G325" i="1"/>
  <c r="H325" i="1" s="1"/>
  <c r="J325" i="1" s="1"/>
  <c r="G326" i="1"/>
  <c r="H326" i="1" s="1"/>
  <c r="J326" i="1" s="1"/>
  <c r="G327" i="1"/>
  <c r="H327" i="1" s="1"/>
  <c r="J327" i="1" s="1"/>
  <c r="G328" i="1"/>
  <c r="H328" i="1" s="1"/>
  <c r="J328" i="1" s="1"/>
  <c r="G329" i="1"/>
  <c r="H329" i="1" s="1"/>
  <c r="J329" i="1" s="1"/>
  <c r="G330" i="1"/>
  <c r="H330" i="1" s="1"/>
  <c r="J330" i="1" s="1"/>
  <c r="G331" i="1"/>
  <c r="H331" i="1" s="1"/>
  <c r="J331" i="1" s="1"/>
  <c r="G332" i="1"/>
  <c r="H332" i="1" s="1"/>
  <c r="J332" i="1" s="1"/>
  <c r="G333" i="1"/>
  <c r="H333" i="1" s="1"/>
  <c r="J333" i="1" s="1"/>
  <c r="G334" i="1"/>
  <c r="H334" i="1" s="1"/>
  <c r="J334" i="1" s="1"/>
  <c r="G335" i="1"/>
  <c r="H335" i="1" s="1"/>
  <c r="J335" i="1" s="1"/>
  <c r="G336" i="1"/>
  <c r="H336" i="1" s="1"/>
  <c r="J336" i="1" s="1"/>
  <c r="G337" i="1"/>
  <c r="H337" i="1" s="1"/>
  <c r="J337" i="1" s="1"/>
  <c r="G338" i="1"/>
  <c r="H338" i="1" s="1"/>
  <c r="J338" i="1" s="1"/>
  <c r="G339" i="1"/>
  <c r="H339" i="1" s="1"/>
  <c r="J339" i="1" s="1"/>
  <c r="G340" i="1"/>
  <c r="H340" i="1" s="1"/>
  <c r="J340" i="1" s="1"/>
  <c r="G341" i="1"/>
  <c r="H341" i="1" s="1"/>
  <c r="J341" i="1" s="1"/>
  <c r="G342" i="1"/>
  <c r="H342" i="1" s="1"/>
  <c r="J342" i="1" s="1"/>
  <c r="G343" i="1"/>
  <c r="H343" i="1" s="1"/>
  <c r="J343" i="1" s="1"/>
  <c r="G344" i="1"/>
  <c r="H344" i="1" s="1"/>
  <c r="J344" i="1" s="1"/>
  <c r="G345" i="1"/>
  <c r="H345" i="1" s="1"/>
  <c r="J345" i="1" s="1"/>
  <c r="G346" i="1"/>
  <c r="H346" i="1" s="1"/>
  <c r="J346" i="1" s="1"/>
  <c r="G347" i="1"/>
  <c r="H347" i="1" s="1"/>
  <c r="J347" i="1" s="1"/>
  <c r="G348" i="1"/>
  <c r="H348" i="1" s="1"/>
  <c r="J348" i="1" s="1"/>
  <c r="G349" i="1"/>
  <c r="H349" i="1" s="1"/>
  <c r="J349" i="1" s="1"/>
  <c r="G350" i="1"/>
  <c r="H350" i="1" s="1"/>
  <c r="J350" i="1" s="1"/>
  <c r="G351" i="1"/>
  <c r="H351" i="1" s="1"/>
  <c r="J351" i="1" s="1"/>
  <c r="G352" i="1"/>
  <c r="H352" i="1" s="1"/>
  <c r="J352" i="1" s="1"/>
  <c r="G353" i="1"/>
  <c r="H353" i="1" s="1"/>
  <c r="J353" i="1" s="1"/>
  <c r="G354" i="1"/>
  <c r="H354" i="1" s="1"/>
  <c r="J354" i="1" s="1"/>
  <c r="G355" i="1"/>
  <c r="H355" i="1" s="1"/>
  <c r="J355" i="1" s="1"/>
  <c r="G356" i="1"/>
  <c r="H356" i="1" s="1"/>
  <c r="G357" i="1"/>
  <c r="H357" i="1" s="1"/>
  <c r="J357" i="1" s="1"/>
  <c r="G358" i="1"/>
  <c r="H358" i="1" s="1"/>
  <c r="J358" i="1" s="1"/>
  <c r="G359" i="1"/>
  <c r="H359" i="1" s="1"/>
  <c r="J359" i="1" s="1"/>
  <c r="G360" i="1"/>
  <c r="H360" i="1" s="1"/>
  <c r="J360" i="1" s="1"/>
  <c r="G361" i="1"/>
  <c r="H361" i="1" s="1"/>
  <c r="J361" i="1" s="1"/>
  <c r="G362" i="1"/>
  <c r="H362" i="1" s="1"/>
  <c r="J362" i="1" s="1"/>
  <c r="G363" i="1"/>
  <c r="H363" i="1" s="1"/>
  <c r="J363" i="1" s="1"/>
  <c r="G364" i="1"/>
  <c r="H364" i="1" s="1"/>
  <c r="J364" i="1" s="1"/>
  <c r="G365" i="1"/>
  <c r="H365" i="1" s="1"/>
  <c r="J365" i="1" s="1"/>
  <c r="G366" i="1"/>
  <c r="H366" i="1" s="1"/>
  <c r="J366" i="1" s="1"/>
  <c r="G367" i="1"/>
  <c r="H367" i="1" s="1"/>
  <c r="J367" i="1" s="1"/>
  <c r="G368" i="1"/>
  <c r="H368" i="1" s="1"/>
  <c r="J368" i="1" s="1"/>
  <c r="G369" i="1"/>
  <c r="H369" i="1" s="1"/>
  <c r="J369" i="1" s="1"/>
  <c r="G370" i="1"/>
  <c r="H370" i="1" s="1"/>
  <c r="J370" i="1" s="1"/>
  <c r="G371" i="1"/>
  <c r="H371" i="1" s="1"/>
  <c r="J371" i="1" s="1"/>
  <c r="G372" i="1"/>
  <c r="H372" i="1" s="1"/>
  <c r="J372" i="1" s="1"/>
  <c r="G373" i="1"/>
  <c r="H373" i="1" s="1"/>
  <c r="J373" i="1" s="1"/>
  <c r="G374" i="1"/>
  <c r="H374" i="1" s="1"/>
  <c r="J374" i="1" s="1"/>
  <c r="G375" i="1"/>
  <c r="H375" i="1" s="1"/>
  <c r="J375" i="1" s="1"/>
  <c r="G376" i="1"/>
  <c r="H376" i="1" s="1"/>
  <c r="J376" i="1" s="1"/>
  <c r="G377" i="1"/>
  <c r="H377" i="1" s="1"/>
  <c r="J377" i="1" s="1"/>
  <c r="G378" i="1"/>
  <c r="H378" i="1" s="1"/>
  <c r="J378" i="1" s="1"/>
  <c r="G379" i="1"/>
  <c r="H379" i="1" s="1"/>
  <c r="J379" i="1" s="1"/>
  <c r="G380" i="1"/>
  <c r="H380" i="1" s="1"/>
  <c r="J380" i="1" s="1"/>
  <c r="G381" i="1"/>
  <c r="H381" i="1" s="1"/>
  <c r="J381" i="1" s="1"/>
  <c r="G382" i="1"/>
  <c r="H382" i="1" s="1"/>
  <c r="J382" i="1" s="1"/>
  <c r="G383" i="1"/>
  <c r="H383" i="1" s="1"/>
  <c r="J383" i="1" s="1"/>
  <c r="G384" i="1"/>
  <c r="H384" i="1" s="1"/>
  <c r="J384" i="1" s="1"/>
  <c r="G385" i="1"/>
  <c r="H385" i="1" s="1"/>
  <c r="J385" i="1" s="1"/>
  <c r="G386" i="1"/>
  <c r="H386" i="1" s="1"/>
  <c r="J386" i="1" s="1"/>
  <c r="G387" i="1"/>
  <c r="H387" i="1" s="1"/>
  <c r="J387" i="1" s="1"/>
  <c r="G388" i="1"/>
  <c r="H388" i="1" s="1"/>
  <c r="J388" i="1" s="1"/>
  <c r="G389" i="1"/>
  <c r="H389" i="1" s="1"/>
  <c r="J389" i="1" s="1"/>
  <c r="G390" i="1"/>
  <c r="H390" i="1" s="1"/>
  <c r="J390" i="1" s="1"/>
  <c r="G391" i="1"/>
  <c r="H391" i="1" s="1"/>
  <c r="J391" i="1" s="1"/>
  <c r="G392" i="1"/>
  <c r="H392" i="1" s="1"/>
  <c r="J392" i="1" s="1"/>
  <c r="G393" i="1"/>
  <c r="H393" i="1" s="1"/>
  <c r="J393" i="1" s="1"/>
  <c r="G394" i="1"/>
  <c r="H394" i="1" s="1"/>
  <c r="J394" i="1" s="1"/>
  <c r="G395" i="1"/>
  <c r="H395" i="1" s="1"/>
  <c r="J395" i="1" s="1"/>
  <c r="G396" i="1"/>
  <c r="H396" i="1" s="1"/>
  <c r="J396" i="1" s="1"/>
  <c r="G397" i="1"/>
  <c r="H397" i="1" s="1"/>
  <c r="G398" i="1"/>
  <c r="H398" i="1" s="1"/>
  <c r="J398" i="1" s="1"/>
  <c r="G399" i="1"/>
  <c r="H399" i="1" s="1"/>
  <c r="J399" i="1" s="1"/>
  <c r="G400" i="1"/>
  <c r="H400" i="1" s="1"/>
  <c r="J400" i="1" s="1"/>
  <c r="G401" i="1"/>
  <c r="H401" i="1" s="1"/>
  <c r="J401" i="1" s="1"/>
  <c r="G402" i="1"/>
  <c r="H402" i="1" s="1"/>
  <c r="J402" i="1" s="1"/>
  <c r="G403" i="1"/>
  <c r="H403" i="1" s="1"/>
  <c r="J403" i="1" s="1"/>
  <c r="G404" i="1"/>
  <c r="H404" i="1" s="1"/>
  <c r="J404" i="1" s="1"/>
  <c r="G405" i="1"/>
  <c r="H405" i="1" s="1"/>
  <c r="J405" i="1" s="1"/>
  <c r="G406" i="1"/>
  <c r="H406" i="1" s="1"/>
  <c r="J406" i="1" s="1"/>
  <c r="G407" i="1"/>
  <c r="H407" i="1" s="1"/>
  <c r="J407" i="1" s="1"/>
  <c r="G408" i="1"/>
  <c r="H408" i="1" s="1"/>
  <c r="J408" i="1" s="1"/>
  <c r="G409" i="1"/>
  <c r="H409" i="1" s="1"/>
  <c r="J409" i="1" s="1"/>
  <c r="G410" i="1"/>
  <c r="H410" i="1" s="1"/>
  <c r="J410" i="1" s="1"/>
  <c r="G411" i="1"/>
  <c r="H411" i="1" s="1"/>
  <c r="J411" i="1" s="1"/>
  <c r="G412" i="1"/>
  <c r="H412" i="1" s="1"/>
  <c r="J412" i="1" s="1"/>
  <c r="G413" i="1"/>
  <c r="H413" i="1" s="1"/>
  <c r="J413" i="1" s="1"/>
  <c r="G414" i="1"/>
  <c r="H414" i="1" s="1"/>
  <c r="J414" i="1" s="1"/>
  <c r="G415" i="1"/>
  <c r="H415" i="1" s="1"/>
  <c r="J415" i="1" s="1"/>
  <c r="G416" i="1"/>
  <c r="H416" i="1" s="1"/>
  <c r="J416" i="1" s="1"/>
  <c r="G417" i="1"/>
  <c r="H417" i="1" s="1"/>
  <c r="J417" i="1" s="1"/>
  <c r="G418" i="1"/>
  <c r="H418" i="1" s="1"/>
  <c r="J418" i="1" s="1"/>
  <c r="G419" i="1"/>
  <c r="H419" i="1" s="1"/>
  <c r="J419" i="1" s="1"/>
  <c r="G420" i="1"/>
  <c r="H420" i="1" s="1"/>
  <c r="J420" i="1" s="1"/>
  <c r="G421" i="1"/>
  <c r="H421" i="1" s="1"/>
  <c r="J421" i="1" s="1"/>
  <c r="G422" i="1"/>
  <c r="H422" i="1" s="1"/>
  <c r="J422" i="1" s="1"/>
  <c r="G423" i="1"/>
  <c r="H423" i="1" s="1"/>
  <c r="J423" i="1" s="1"/>
  <c r="G424" i="1"/>
  <c r="H424" i="1" s="1"/>
  <c r="J424" i="1" s="1"/>
  <c r="G425" i="1"/>
  <c r="H425" i="1" s="1"/>
  <c r="J425" i="1" s="1"/>
  <c r="G426" i="1"/>
  <c r="H426" i="1" s="1"/>
  <c r="J426" i="1" s="1"/>
  <c r="G427" i="1"/>
  <c r="H427" i="1" s="1"/>
  <c r="J427" i="1" s="1"/>
  <c r="G428" i="1"/>
  <c r="H428" i="1" s="1"/>
  <c r="J428" i="1" s="1"/>
  <c r="G429" i="1"/>
  <c r="H429" i="1" s="1"/>
  <c r="J429" i="1" s="1"/>
  <c r="G430" i="1"/>
  <c r="H430" i="1" s="1"/>
  <c r="J430" i="1" s="1"/>
  <c r="G431" i="1"/>
  <c r="H431" i="1" s="1"/>
  <c r="J431" i="1" s="1"/>
  <c r="G432" i="1"/>
  <c r="H432" i="1" s="1"/>
  <c r="J432" i="1" s="1"/>
  <c r="G433" i="1"/>
  <c r="H433" i="1" s="1"/>
  <c r="J433" i="1" s="1"/>
  <c r="G434" i="1"/>
  <c r="H434" i="1" s="1"/>
  <c r="J434" i="1" s="1"/>
  <c r="G435" i="1"/>
  <c r="H435" i="1" s="1"/>
  <c r="J435" i="1" s="1"/>
  <c r="G436" i="1"/>
  <c r="H436" i="1" s="1"/>
  <c r="J436" i="1" s="1"/>
  <c r="G437" i="1"/>
  <c r="H437" i="1" s="1"/>
  <c r="J437" i="1" s="1"/>
  <c r="G438" i="1"/>
  <c r="H438" i="1" s="1"/>
  <c r="J438" i="1" s="1"/>
  <c r="G439" i="1"/>
  <c r="H439" i="1" s="1"/>
  <c r="J439" i="1" s="1"/>
  <c r="G440" i="1"/>
  <c r="H440" i="1" s="1"/>
  <c r="J440" i="1" s="1"/>
  <c r="G441" i="1"/>
  <c r="H441" i="1" s="1"/>
  <c r="J441" i="1" s="1"/>
  <c r="G442" i="1"/>
  <c r="H442" i="1" s="1"/>
  <c r="J442" i="1" s="1"/>
  <c r="G443" i="1"/>
  <c r="H443" i="1" s="1"/>
  <c r="J443" i="1" s="1"/>
  <c r="G444" i="1"/>
  <c r="H444" i="1" s="1"/>
  <c r="J444" i="1" s="1"/>
  <c r="G445" i="1"/>
  <c r="H445" i="1" s="1"/>
  <c r="J445" i="1" s="1"/>
  <c r="G446" i="1"/>
  <c r="H446" i="1" s="1"/>
  <c r="J446" i="1" s="1"/>
  <c r="G447" i="1"/>
  <c r="H447" i="1" s="1"/>
  <c r="J447" i="1" s="1"/>
  <c r="G448" i="1"/>
  <c r="H448" i="1" s="1"/>
  <c r="J448" i="1" s="1"/>
  <c r="G449" i="1"/>
  <c r="H449" i="1" s="1"/>
  <c r="J449" i="1" s="1"/>
  <c r="G450" i="1"/>
  <c r="H450" i="1" s="1"/>
  <c r="J450" i="1" s="1"/>
  <c r="G451" i="1"/>
  <c r="H451" i="1" s="1"/>
  <c r="J451" i="1" s="1"/>
  <c r="G452" i="1"/>
  <c r="H452" i="1" s="1"/>
  <c r="J452" i="1" s="1"/>
  <c r="G453" i="1"/>
  <c r="H453" i="1" s="1"/>
  <c r="J453" i="1" s="1"/>
  <c r="G454" i="1"/>
  <c r="H454" i="1" s="1"/>
  <c r="J454" i="1" s="1"/>
  <c r="G455" i="1"/>
  <c r="H455" i="1" s="1"/>
  <c r="G456" i="1"/>
  <c r="H456" i="1" s="1"/>
  <c r="J456" i="1" s="1"/>
  <c r="G457" i="1"/>
  <c r="H457" i="1" s="1"/>
  <c r="J457" i="1" s="1"/>
  <c r="G458" i="1"/>
  <c r="H458" i="1" s="1"/>
  <c r="J458" i="1" s="1"/>
  <c r="G459" i="1"/>
  <c r="H459" i="1" s="1"/>
  <c r="J459" i="1" s="1"/>
  <c r="G460" i="1"/>
  <c r="H460" i="1" s="1"/>
  <c r="J460" i="1" s="1"/>
  <c r="G461" i="1"/>
  <c r="H461" i="1" s="1"/>
  <c r="J461" i="1" s="1"/>
  <c r="G462" i="1"/>
  <c r="G463" i="1"/>
  <c r="H463" i="1" s="1"/>
  <c r="J463" i="1" s="1"/>
  <c r="G464" i="1"/>
  <c r="H464" i="1" s="1"/>
  <c r="J464" i="1" s="1"/>
  <c r="G465" i="1"/>
  <c r="H465" i="1" s="1"/>
  <c r="J465" i="1" s="1"/>
  <c r="G466" i="1"/>
  <c r="G467" i="1"/>
  <c r="H467" i="1" s="1"/>
  <c r="J467" i="1" s="1"/>
  <c r="G468" i="1"/>
  <c r="G469" i="1"/>
  <c r="H469" i="1" s="1"/>
  <c r="J469" i="1" s="1"/>
  <c r="G470" i="1"/>
  <c r="H470" i="1" s="1"/>
  <c r="J470" i="1" s="1"/>
  <c r="G471" i="1"/>
  <c r="H471" i="1" s="1"/>
  <c r="J471" i="1" s="1"/>
  <c r="G472" i="1"/>
  <c r="H472" i="1" s="1"/>
  <c r="J472" i="1" s="1"/>
  <c r="G473" i="1"/>
  <c r="H473" i="1" s="1"/>
  <c r="J473" i="1" s="1"/>
  <c r="G474" i="1"/>
  <c r="H474" i="1" s="1"/>
  <c r="J474" i="1" s="1"/>
  <c r="G475" i="1"/>
  <c r="H475" i="1" s="1"/>
  <c r="J475" i="1" s="1"/>
  <c r="G476" i="1"/>
  <c r="H476" i="1" s="1"/>
  <c r="J476" i="1" s="1"/>
  <c r="G477" i="1"/>
  <c r="G478" i="1"/>
  <c r="H478" i="1" s="1"/>
  <c r="J478" i="1" s="1"/>
  <c r="G479" i="1"/>
  <c r="G480" i="1"/>
  <c r="H480" i="1" s="1"/>
  <c r="J480" i="1" s="1"/>
  <c r="G481" i="1"/>
  <c r="H481" i="1" s="1"/>
  <c r="J481" i="1" s="1"/>
  <c r="G482" i="1"/>
  <c r="H482" i="1" s="1"/>
  <c r="J482" i="1" s="1"/>
  <c r="G483" i="1"/>
  <c r="H483" i="1" s="1"/>
  <c r="J483" i="1" s="1"/>
  <c r="G484" i="1"/>
  <c r="H484" i="1" s="1"/>
  <c r="J484" i="1" s="1"/>
  <c r="G485" i="1"/>
  <c r="H485" i="1" s="1"/>
  <c r="J485" i="1" s="1"/>
  <c r="G486" i="1"/>
  <c r="H486" i="1" s="1"/>
  <c r="J486" i="1" s="1"/>
  <c r="G487" i="1"/>
  <c r="H487" i="1" s="1"/>
  <c r="J487" i="1" s="1"/>
  <c r="G488" i="1"/>
  <c r="H488" i="1" s="1"/>
  <c r="J488" i="1" s="1"/>
  <c r="G489" i="1"/>
  <c r="H489" i="1" s="1"/>
  <c r="J489" i="1" s="1"/>
  <c r="G490" i="1"/>
  <c r="G491" i="1"/>
  <c r="H491" i="1" s="1"/>
  <c r="J491" i="1" s="1"/>
  <c r="G492" i="1"/>
  <c r="H492" i="1" s="1"/>
  <c r="J492" i="1" s="1"/>
  <c r="G493" i="1"/>
  <c r="H493" i="1" s="1"/>
  <c r="J493" i="1" s="1"/>
  <c r="G494" i="1"/>
  <c r="H494" i="1" s="1"/>
  <c r="J494" i="1" s="1"/>
  <c r="G495" i="1"/>
  <c r="H495" i="1" s="1"/>
  <c r="J495" i="1" s="1"/>
  <c r="G496" i="1"/>
  <c r="H496" i="1" s="1"/>
  <c r="J496" i="1" s="1"/>
  <c r="G497" i="1"/>
  <c r="H497" i="1" s="1"/>
  <c r="J497" i="1" s="1"/>
  <c r="G498" i="1"/>
  <c r="G499" i="1"/>
  <c r="H499" i="1" s="1"/>
  <c r="J499" i="1" s="1"/>
  <c r="G500" i="1"/>
  <c r="H500" i="1" s="1"/>
  <c r="J500" i="1" s="1"/>
  <c r="G501" i="1"/>
  <c r="H501" i="1" s="1"/>
  <c r="J501" i="1" s="1"/>
  <c r="G502" i="1"/>
  <c r="H502" i="1" s="1"/>
  <c r="J502" i="1" s="1"/>
  <c r="G503" i="1"/>
  <c r="H503" i="1" s="1"/>
  <c r="J503" i="1" s="1"/>
  <c r="G504" i="1"/>
  <c r="H504" i="1" s="1"/>
  <c r="J504" i="1" s="1"/>
  <c r="G505" i="1"/>
  <c r="H505" i="1" s="1"/>
  <c r="J505" i="1" s="1"/>
  <c r="G506" i="1"/>
  <c r="G507" i="1"/>
  <c r="H507" i="1" s="1"/>
  <c r="J507" i="1" s="1"/>
  <c r="G508" i="1"/>
  <c r="H508" i="1" s="1"/>
  <c r="J508" i="1" s="1"/>
  <c r="G509" i="1"/>
  <c r="G510" i="1"/>
  <c r="H510" i="1" s="1"/>
  <c r="J510" i="1" s="1"/>
  <c r="G511" i="1"/>
  <c r="H511" i="1" s="1"/>
  <c r="J511" i="1" s="1"/>
  <c r="G512" i="1"/>
  <c r="H512" i="1" s="1"/>
  <c r="J512" i="1" s="1"/>
  <c r="G513" i="1"/>
  <c r="H513" i="1" s="1"/>
  <c r="J513" i="1" s="1"/>
  <c r="G514" i="1"/>
  <c r="H514" i="1" s="1"/>
  <c r="J514" i="1" s="1"/>
  <c r="G515" i="1"/>
  <c r="H515" i="1" s="1"/>
  <c r="J515" i="1" s="1"/>
  <c r="G516" i="1"/>
  <c r="H516" i="1" s="1"/>
  <c r="J516" i="1" s="1"/>
  <c r="G517" i="1"/>
  <c r="G518" i="1"/>
  <c r="H518" i="1" s="1"/>
  <c r="J518" i="1" s="1"/>
  <c r="G519" i="1"/>
  <c r="H519" i="1" s="1"/>
  <c r="J519" i="1" s="1"/>
  <c r="G520" i="1"/>
  <c r="H520" i="1" s="1"/>
  <c r="J520" i="1" s="1"/>
  <c r="G521" i="1"/>
  <c r="H521" i="1" s="1"/>
  <c r="J521" i="1" s="1"/>
  <c r="G522" i="1"/>
  <c r="H522" i="1" s="1"/>
  <c r="J522" i="1" s="1"/>
  <c r="G523" i="1"/>
  <c r="H523" i="1" s="1"/>
  <c r="J523" i="1" s="1"/>
  <c r="G524" i="1"/>
  <c r="H524" i="1" s="1"/>
  <c r="J524" i="1" s="1"/>
  <c r="G525" i="1"/>
  <c r="G526" i="1"/>
  <c r="H526" i="1" s="1"/>
  <c r="J526" i="1" s="1"/>
  <c r="G527" i="1"/>
  <c r="H527" i="1" s="1"/>
  <c r="J527" i="1" s="1"/>
  <c r="G528" i="1"/>
  <c r="H528" i="1" s="1"/>
  <c r="J528" i="1" s="1"/>
  <c r="G529" i="1"/>
  <c r="H529" i="1" s="1"/>
  <c r="J529" i="1" s="1"/>
  <c r="G530" i="1"/>
  <c r="H530" i="1" s="1"/>
  <c r="J530" i="1" s="1"/>
  <c r="G531" i="1"/>
  <c r="G532" i="1"/>
  <c r="H532" i="1" s="1"/>
  <c r="J532" i="1" s="1"/>
  <c r="G533" i="1"/>
  <c r="H533" i="1" s="1"/>
  <c r="J533" i="1" s="1"/>
  <c r="G534" i="1"/>
  <c r="H534" i="1" s="1"/>
  <c r="J534" i="1" s="1"/>
  <c r="G535" i="1"/>
  <c r="H535" i="1" s="1"/>
  <c r="J535" i="1" s="1"/>
  <c r="G536" i="1"/>
  <c r="H536" i="1" s="1"/>
  <c r="J536" i="1" s="1"/>
  <c r="G537" i="1"/>
  <c r="H537" i="1" s="1"/>
  <c r="J537" i="1" s="1"/>
  <c r="G538" i="1"/>
  <c r="H538" i="1" s="1"/>
  <c r="J538" i="1" s="1"/>
  <c r="G539" i="1"/>
  <c r="H539" i="1" s="1"/>
  <c r="J539" i="1" s="1"/>
  <c r="G540" i="1"/>
  <c r="H540" i="1" s="1"/>
  <c r="J540" i="1" s="1"/>
  <c r="G541" i="1"/>
  <c r="G542" i="1"/>
  <c r="H542" i="1" s="1"/>
  <c r="J542" i="1" s="1"/>
  <c r="G543" i="1"/>
  <c r="H543" i="1" s="1"/>
  <c r="J543" i="1" s="1"/>
  <c r="G544" i="1"/>
  <c r="G545" i="1"/>
  <c r="H545" i="1" s="1"/>
  <c r="J545" i="1" s="1"/>
  <c r="G546" i="1"/>
  <c r="H546" i="1" s="1"/>
  <c r="J546" i="1" s="1"/>
  <c r="G547" i="1"/>
  <c r="G548" i="1"/>
  <c r="H548" i="1" s="1"/>
  <c r="J548" i="1" s="1"/>
  <c r="G549" i="1"/>
  <c r="H549" i="1" s="1"/>
  <c r="J549" i="1" s="1"/>
  <c r="G550" i="1"/>
  <c r="H550" i="1" s="1"/>
  <c r="J550" i="1" s="1"/>
  <c r="G551" i="1"/>
  <c r="H551" i="1" s="1"/>
  <c r="J551" i="1" s="1"/>
  <c r="G552" i="1"/>
  <c r="H552" i="1" s="1"/>
  <c r="J552" i="1" s="1"/>
  <c r="G553" i="1"/>
  <c r="H553" i="1" s="1"/>
  <c r="J553" i="1" s="1"/>
  <c r="G554" i="1"/>
  <c r="H554" i="1" s="1"/>
  <c r="J554" i="1" s="1"/>
  <c r="G555" i="1"/>
  <c r="H555" i="1" s="1"/>
  <c r="J555" i="1" s="1"/>
  <c r="G556" i="1"/>
  <c r="H556" i="1" s="1"/>
  <c r="J556" i="1" s="1"/>
  <c r="G557" i="1"/>
  <c r="H557" i="1" s="1"/>
  <c r="J557" i="1" s="1"/>
  <c r="G558" i="1"/>
  <c r="H558" i="1" s="1"/>
  <c r="J558" i="1" s="1"/>
  <c r="G559" i="1"/>
  <c r="H559" i="1" s="1"/>
  <c r="J559" i="1" s="1"/>
  <c r="G560" i="1"/>
  <c r="H560" i="1" s="1"/>
  <c r="J560" i="1" s="1"/>
  <c r="G561" i="1"/>
  <c r="G562" i="1"/>
  <c r="H562" i="1" s="1"/>
  <c r="J562" i="1" s="1"/>
  <c r="G563" i="1"/>
  <c r="H563" i="1" s="1"/>
  <c r="J563" i="1" s="1"/>
  <c r="G564" i="1"/>
  <c r="H564" i="1" s="1"/>
  <c r="J564" i="1" s="1"/>
  <c r="G565" i="1"/>
  <c r="H565" i="1" s="1"/>
  <c r="J565" i="1" s="1"/>
  <c r="G566" i="1"/>
  <c r="H566" i="1" s="1"/>
  <c r="J566" i="1" s="1"/>
  <c r="G567" i="1"/>
  <c r="H567" i="1" s="1"/>
  <c r="J567" i="1" s="1"/>
  <c r="G568" i="1"/>
  <c r="H568" i="1" s="1"/>
  <c r="J568" i="1" s="1"/>
  <c r="G569" i="1"/>
  <c r="G570" i="1"/>
  <c r="H570" i="1" s="1"/>
  <c r="J570" i="1" s="1"/>
  <c r="G571" i="1"/>
  <c r="H571" i="1" s="1"/>
  <c r="J571" i="1" s="1"/>
  <c r="G572" i="1"/>
  <c r="H572" i="1" s="1"/>
  <c r="J572" i="1" s="1"/>
  <c r="G573" i="1"/>
  <c r="H573" i="1" s="1"/>
  <c r="J573" i="1" s="1"/>
  <c r="G574" i="1"/>
  <c r="H574" i="1" s="1"/>
  <c r="J574" i="1" s="1"/>
  <c r="G575" i="1"/>
  <c r="H575" i="1" s="1"/>
  <c r="J575" i="1" s="1"/>
  <c r="G576" i="1"/>
  <c r="H576" i="1" s="1"/>
  <c r="J576" i="1" s="1"/>
  <c r="G577" i="1"/>
  <c r="G578" i="1"/>
  <c r="H578" i="1" s="1"/>
  <c r="J578" i="1" s="1"/>
  <c r="G3" i="1"/>
  <c r="H3" i="1" s="1"/>
  <c r="H577" i="1" l="1"/>
  <c r="J577" i="1" s="1"/>
  <c r="H569" i="1"/>
  <c r="J569" i="1" s="1"/>
  <c r="H561" i="1"/>
  <c r="J561" i="1" s="1"/>
  <c r="H547" i="1"/>
  <c r="J547" i="1" s="1"/>
  <c r="H544" i="1"/>
  <c r="J544" i="1" s="1"/>
  <c r="H541" i="1"/>
  <c r="J541" i="1" s="1"/>
  <c r="H11" i="1"/>
  <c r="J11" i="1" s="1"/>
  <c r="J3" i="1"/>
  <c r="H10" i="1"/>
  <c r="J10" i="1" s="1"/>
  <c r="J455" i="1"/>
  <c r="J397" i="1"/>
  <c r="J356" i="1"/>
  <c r="J304" i="1"/>
  <c r="H112" i="1"/>
  <c r="J112" i="1" s="1"/>
  <c r="H48" i="1"/>
  <c r="J48" i="1" s="1"/>
  <c r="H240" i="1"/>
  <c r="J240" i="1" s="1"/>
  <c r="H176" i="1"/>
  <c r="J176" i="1" s="1"/>
  <c r="H7" i="1"/>
  <c r="J7" i="1" s="1"/>
  <c r="H531" i="1"/>
  <c r="J531" i="1" s="1"/>
  <c r="H525" i="1"/>
  <c r="J525" i="1" s="1"/>
  <c r="H517" i="1"/>
  <c r="J517" i="1" s="1"/>
  <c r="H509" i="1"/>
  <c r="J509" i="1" s="1"/>
  <c r="H506" i="1"/>
  <c r="J506" i="1" s="1"/>
  <c r="H498" i="1"/>
  <c r="J498" i="1" s="1"/>
  <c r="H490" i="1"/>
  <c r="J490" i="1" s="1"/>
  <c r="H479" i="1"/>
  <c r="J479" i="1" s="1"/>
  <c r="H477" i="1"/>
  <c r="J477" i="1" s="1"/>
  <c r="H468" i="1"/>
  <c r="J468" i="1" s="1"/>
  <c r="H466" i="1"/>
  <c r="J466" i="1" s="1"/>
  <c r="H462" i="1"/>
  <c r="J462" i="1" s="1"/>
</calcChain>
</file>

<file path=xl/sharedStrings.xml><?xml version="1.0" encoding="utf-8"?>
<sst xmlns="http://schemas.openxmlformats.org/spreadsheetml/2006/main" count="3478" uniqueCount="594">
  <si>
    <t>Company XYZ</t>
  </si>
  <si>
    <t>Order ID</t>
  </si>
  <si>
    <t>City</t>
  </si>
  <si>
    <t>Delivery Mode</t>
  </si>
  <si>
    <t>Order Value</t>
  </si>
  <si>
    <t>Order Quantity</t>
  </si>
  <si>
    <t>Total Revenue</t>
  </si>
  <si>
    <t>6217-1</t>
  </si>
  <si>
    <t>Dhaka</t>
  </si>
  <si>
    <t>Bus</t>
  </si>
  <si>
    <t>6584-1</t>
  </si>
  <si>
    <t>Sylhet</t>
  </si>
  <si>
    <t>6586-1</t>
  </si>
  <si>
    <t>6582-1</t>
  </si>
  <si>
    <t>6581-1</t>
  </si>
  <si>
    <t>6579-1</t>
  </si>
  <si>
    <t>6577-1</t>
  </si>
  <si>
    <t>6576-1</t>
  </si>
  <si>
    <t>6574-1</t>
  </si>
  <si>
    <t>Delivery Truck</t>
  </si>
  <si>
    <t>6572-1</t>
  </si>
  <si>
    <t>6571-1</t>
  </si>
  <si>
    <t>6569-1</t>
  </si>
  <si>
    <t>6567-1</t>
  </si>
  <si>
    <t>6565-1</t>
  </si>
  <si>
    <t>6561-1</t>
  </si>
  <si>
    <t>6562-1</t>
  </si>
  <si>
    <t>Train</t>
  </si>
  <si>
    <t>6564-1</t>
  </si>
  <si>
    <t>6560-1</t>
  </si>
  <si>
    <t>6558-1</t>
  </si>
  <si>
    <t>6557-1</t>
  </si>
  <si>
    <t>6555-1</t>
  </si>
  <si>
    <t>6553-1</t>
  </si>
  <si>
    <t>6552-1</t>
  </si>
  <si>
    <t>6548-1</t>
  </si>
  <si>
    <t>6550-1</t>
  </si>
  <si>
    <t>6546-1</t>
  </si>
  <si>
    <t>6544-1</t>
  </si>
  <si>
    <t>6541-1</t>
  </si>
  <si>
    <t>6542-1</t>
  </si>
  <si>
    <t>6543-1</t>
  </si>
  <si>
    <t>6540-1</t>
  </si>
  <si>
    <t>6538-1</t>
  </si>
  <si>
    <t>6536-1</t>
  </si>
  <si>
    <t>6535-1</t>
  </si>
  <si>
    <t>6534-1</t>
  </si>
  <si>
    <t>6532-1</t>
  </si>
  <si>
    <t>6531-1</t>
  </si>
  <si>
    <t>6530-1</t>
  </si>
  <si>
    <t>6529-1</t>
  </si>
  <si>
    <t>6523-1</t>
  </si>
  <si>
    <t>6525-1</t>
  </si>
  <si>
    <t>6527-1</t>
  </si>
  <si>
    <t>6528-1</t>
  </si>
  <si>
    <t>6521-1</t>
  </si>
  <si>
    <t>6515-1</t>
  </si>
  <si>
    <t>6515-2</t>
  </si>
  <si>
    <t>6517-1</t>
  </si>
  <si>
    <t>6514-1</t>
  </si>
  <si>
    <t>6512-1</t>
  </si>
  <si>
    <t>6511-1</t>
  </si>
  <si>
    <t>6510-1</t>
  </si>
  <si>
    <t>6509-1</t>
  </si>
  <si>
    <t>6507-1</t>
  </si>
  <si>
    <t>6506-1</t>
  </si>
  <si>
    <t>6504-1</t>
  </si>
  <si>
    <t>6505-1</t>
  </si>
  <si>
    <t>6500-1</t>
  </si>
  <si>
    <t>6502-1</t>
  </si>
  <si>
    <t>6503-1</t>
  </si>
  <si>
    <t>6499-1</t>
  </si>
  <si>
    <t>6498-1</t>
  </si>
  <si>
    <t>6497-1</t>
  </si>
  <si>
    <t>6495-1</t>
  </si>
  <si>
    <t>6496-1</t>
  </si>
  <si>
    <t>6493-1</t>
  </si>
  <si>
    <t>6491-1</t>
  </si>
  <si>
    <t>6489-1</t>
  </si>
  <si>
    <t>6487-1</t>
  </si>
  <si>
    <t>6485-1</t>
  </si>
  <si>
    <t>6484-1</t>
  </si>
  <si>
    <t>6480-1</t>
  </si>
  <si>
    <t>6482-1</t>
  </si>
  <si>
    <t>6483-1</t>
  </si>
  <si>
    <t>6479-1</t>
  </si>
  <si>
    <t>6477-1</t>
  </si>
  <si>
    <t>6471-1</t>
  </si>
  <si>
    <t>6472-1</t>
  </si>
  <si>
    <t>6473-1</t>
  </si>
  <si>
    <t>6475-1</t>
  </si>
  <si>
    <t>6465-1</t>
  </si>
  <si>
    <t>6467-1</t>
  </si>
  <si>
    <t>6469-1</t>
  </si>
  <si>
    <t>6463-1</t>
  </si>
  <si>
    <t>6460-1</t>
  </si>
  <si>
    <t>6461-1</t>
  </si>
  <si>
    <t>6457-1</t>
  </si>
  <si>
    <t>6457-2</t>
  </si>
  <si>
    <t>6453-1</t>
  </si>
  <si>
    <t>6455-1</t>
  </si>
  <si>
    <t>6447-1</t>
  </si>
  <si>
    <t>6449-1</t>
  </si>
  <si>
    <t>6451-1</t>
  </si>
  <si>
    <t>6445-1</t>
  </si>
  <si>
    <t>6443-1</t>
  </si>
  <si>
    <t>6442-1</t>
  </si>
  <si>
    <t>6440-1</t>
  </si>
  <si>
    <t>6438-1</t>
  </si>
  <si>
    <t>6436-1</t>
  </si>
  <si>
    <t>6434-1</t>
  </si>
  <si>
    <t>6433-1</t>
  </si>
  <si>
    <t>6432-1</t>
  </si>
  <si>
    <t>6430-1</t>
  </si>
  <si>
    <t>6429-1</t>
  </si>
  <si>
    <t>6427-1</t>
  </si>
  <si>
    <t>6425-1</t>
  </si>
  <si>
    <t>6426-1</t>
  </si>
  <si>
    <t>6423-1</t>
  </si>
  <si>
    <t>6422-1</t>
  </si>
  <si>
    <t>6417-1</t>
  </si>
  <si>
    <t>6417-2</t>
  </si>
  <si>
    <t>6418-1</t>
  </si>
  <si>
    <t>6415-1</t>
  </si>
  <si>
    <t>6414-1</t>
  </si>
  <si>
    <t>6413-1</t>
  </si>
  <si>
    <t>6411-1</t>
  </si>
  <si>
    <t>6407-1</t>
  </si>
  <si>
    <t>6409-1</t>
  </si>
  <si>
    <t>6403-1</t>
  </si>
  <si>
    <t>6403-2</t>
  </si>
  <si>
    <t>6402-1</t>
  </si>
  <si>
    <t>6401-1</t>
  </si>
  <si>
    <t>6399-1</t>
  </si>
  <si>
    <t>6397-1</t>
  </si>
  <si>
    <t>6396-1</t>
  </si>
  <si>
    <t>6393-1</t>
  </si>
  <si>
    <t>6394-1</t>
  </si>
  <si>
    <t>6392-1</t>
  </si>
  <si>
    <t>6391-1</t>
  </si>
  <si>
    <t>6390-1</t>
  </si>
  <si>
    <t>6384-1</t>
  </si>
  <si>
    <t>6384-2</t>
  </si>
  <si>
    <t>6380-1</t>
  </si>
  <si>
    <t>6382-1</t>
  </si>
  <si>
    <t>6387-1</t>
  </si>
  <si>
    <t>6389-1</t>
  </si>
  <si>
    <t>6379-1</t>
  </si>
  <si>
    <t>6377-1</t>
  </si>
  <si>
    <t>6374-1</t>
  </si>
  <si>
    <t>6376-1</t>
  </si>
  <si>
    <t>6373-1</t>
  </si>
  <si>
    <t>6371-1</t>
  </si>
  <si>
    <t>6369-1</t>
  </si>
  <si>
    <t>6370-1</t>
  </si>
  <si>
    <t>6367-1</t>
  </si>
  <si>
    <t>6365-1</t>
  </si>
  <si>
    <t>6364-1</t>
  </si>
  <si>
    <t>6362-1</t>
  </si>
  <si>
    <t>6361-1</t>
  </si>
  <si>
    <t>6359-1</t>
  </si>
  <si>
    <t>6358-1</t>
  </si>
  <si>
    <t>6356-1</t>
  </si>
  <si>
    <t>6355-1</t>
  </si>
  <si>
    <t>6354-1</t>
  </si>
  <si>
    <t>6353-1</t>
  </si>
  <si>
    <t>6352-1</t>
  </si>
  <si>
    <t>6351-1</t>
  </si>
  <si>
    <t>6349-1</t>
  </si>
  <si>
    <t>6348-1</t>
  </si>
  <si>
    <t>6345-1</t>
  </si>
  <si>
    <t>6346-1</t>
  </si>
  <si>
    <t>6342-1</t>
  </si>
  <si>
    <t>6343-1</t>
  </si>
  <si>
    <t>6340-1</t>
  </si>
  <si>
    <t>6339-1</t>
  </si>
  <si>
    <t>6336-1</t>
  </si>
  <si>
    <t>6336-2</t>
  </si>
  <si>
    <t>6335-1</t>
  </si>
  <si>
    <t>6333-1</t>
  </si>
  <si>
    <t>6332-1</t>
  </si>
  <si>
    <t>6329-1</t>
  </si>
  <si>
    <t>6330-1</t>
  </si>
  <si>
    <t>6324-1</t>
  </si>
  <si>
    <t>6325-1</t>
  </si>
  <si>
    <t>6325-2</t>
  </si>
  <si>
    <t>6328-1</t>
  </si>
  <si>
    <t>6327-1</t>
  </si>
  <si>
    <t>6322-1</t>
  </si>
  <si>
    <t>6321-1</t>
  </si>
  <si>
    <t>6319-1</t>
  </si>
  <si>
    <t>6320-1</t>
  </si>
  <si>
    <t>6317-1</t>
  </si>
  <si>
    <t>6315-1</t>
  </si>
  <si>
    <t>6316-1</t>
  </si>
  <si>
    <t>6313-1</t>
  </si>
  <si>
    <t>6311-1</t>
  </si>
  <si>
    <t>6309-1</t>
  </si>
  <si>
    <t>6307-1</t>
  </si>
  <si>
    <t>6306-1</t>
  </si>
  <si>
    <t>6303-1</t>
  </si>
  <si>
    <t>6304-1</t>
  </si>
  <si>
    <t>6300-1</t>
  </si>
  <si>
    <t>6301-1</t>
  </si>
  <si>
    <t>6302-1</t>
  </si>
  <si>
    <t>6298-1</t>
  </si>
  <si>
    <t>6296-1</t>
  </si>
  <si>
    <t>6294-1</t>
  </si>
  <si>
    <t>6295-1</t>
  </si>
  <si>
    <t>6293-1</t>
  </si>
  <si>
    <t>6291-1</t>
  </si>
  <si>
    <t>6290-1</t>
  </si>
  <si>
    <t>6287-1</t>
  </si>
  <si>
    <t>6288-1</t>
  </si>
  <si>
    <t>6285-1</t>
  </si>
  <si>
    <t>6280-1</t>
  </si>
  <si>
    <t>6280-2</t>
  </si>
  <si>
    <t>6281-1</t>
  </si>
  <si>
    <t>6278-1</t>
  </si>
  <si>
    <t>6278-2</t>
  </si>
  <si>
    <t>6276-1</t>
  </si>
  <si>
    <t>6274-1</t>
  </si>
  <si>
    <t>6275-1</t>
  </si>
  <si>
    <t>6273-1</t>
  </si>
  <si>
    <t>6269-1</t>
  </si>
  <si>
    <t>6270-1</t>
  </si>
  <si>
    <t>6272-1</t>
  </si>
  <si>
    <t>6266-1</t>
  </si>
  <si>
    <t>6266-2</t>
  </si>
  <si>
    <t>6264-1</t>
  </si>
  <si>
    <t>6263-1</t>
  </si>
  <si>
    <t>6258-1</t>
  </si>
  <si>
    <t>6260-1</t>
  </si>
  <si>
    <t>6261-1</t>
  </si>
  <si>
    <t>6256-1</t>
  </si>
  <si>
    <t>6254-1</t>
  </si>
  <si>
    <t>6252-1</t>
  </si>
  <si>
    <t>6250-1</t>
  </si>
  <si>
    <t>6248-1</t>
  </si>
  <si>
    <t>6244-1</t>
  </si>
  <si>
    <t>6246-1</t>
  </si>
  <si>
    <t>6242-1</t>
  </si>
  <si>
    <t>6243-1</t>
  </si>
  <si>
    <t>6238-1</t>
  </si>
  <si>
    <t>6240-1</t>
  </si>
  <si>
    <t>6237-1</t>
  </si>
  <si>
    <t>6235-1</t>
  </si>
  <si>
    <t>6234-1</t>
  </si>
  <si>
    <t>6231-1</t>
  </si>
  <si>
    <t>6232-1</t>
  </si>
  <si>
    <t>6228-1</t>
  </si>
  <si>
    <t>6230-1</t>
  </si>
  <si>
    <t>6227-1</t>
  </si>
  <si>
    <t>6225-1</t>
  </si>
  <si>
    <t>6226-1</t>
  </si>
  <si>
    <t>6224-1</t>
  </si>
  <si>
    <t>6223-1</t>
  </si>
  <si>
    <t>6222-1</t>
  </si>
  <si>
    <t>6220-1</t>
  </si>
  <si>
    <t>6221-1</t>
  </si>
  <si>
    <t>6219-1</t>
  </si>
  <si>
    <t>6215-1</t>
  </si>
  <si>
    <t>6214-1</t>
  </si>
  <si>
    <t>6213-1</t>
  </si>
  <si>
    <t>6211-1</t>
  </si>
  <si>
    <t>6209-1</t>
  </si>
  <si>
    <t>6206-1</t>
  </si>
  <si>
    <t>6208-1</t>
  </si>
  <si>
    <t>6201-1</t>
  </si>
  <si>
    <t>6203-1</t>
  </si>
  <si>
    <t>6204-1</t>
  </si>
  <si>
    <t>6197-1</t>
  </si>
  <si>
    <t>6197-2</t>
  </si>
  <si>
    <t>6194-1</t>
  </si>
  <si>
    <t>6196-1</t>
  </si>
  <si>
    <t>6193-1</t>
  </si>
  <si>
    <t>6191-1</t>
  </si>
  <si>
    <t>6190-1</t>
  </si>
  <si>
    <t>6189-1</t>
  </si>
  <si>
    <t>6187-1</t>
  </si>
  <si>
    <t>6186-1</t>
  </si>
  <si>
    <t>6184-1</t>
  </si>
  <si>
    <t>6181-1</t>
  </si>
  <si>
    <t>6183-1</t>
  </si>
  <si>
    <t>6179-1</t>
  </si>
  <si>
    <t>6177-1</t>
  </si>
  <si>
    <t>6174-1</t>
  </si>
  <si>
    <t>6175-1</t>
  </si>
  <si>
    <t>6176-1</t>
  </si>
  <si>
    <t>6172-1</t>
  </si>
  <si>
    <t>6169-1</t>
  </si>
  <si>
    <t>6170-1</t>
  </si>
  <si>
    <t>6167-1</t>
  </si>
  <si>
    <t>6166-1</t>
  </si>
  <si>
    <t>6165-1</t>
  </si>
  <si>
    <t>6159-1</t>
  </si>
  <si>
    <t>6159-2</t>
  </si>
  <si>
    <t>6155-1</t>
  </si>
  <si>
    <t>6157-1</t>
  </si>
  <si>
    <t>6158-1</t>
  </si>
  <si>
    <t>6152-1</t>
  </si>
  <si>
    <t>6154-1</t>
  </si>
  <si>
    <t>6151-1</t>
  </si>
  <si>
    <t>6150-1</t>
  </si>
  <si>
    <t>6146-1</t>
  </si>
  <si>
    <t>6148-1</t>
  </si>
  <si>
    <t>6143-1</t>
  </si>
  <si>
    <t>6143-2</t>
  </si>
  <si>
    <t>6144-1</t>
  </si>
  <si>
    <t>6142-1</t>
  </si>
  <si>
    <t>6140-1</t>
  </si>
  <si>
    <t>6141-1</t>
  </si>
  <si>
    <t>6138-1</t>
  </si>
  <si>
    <t>6135-1</t>
  </si>
  <si>
    <t>6136-1</t>
  </si>
  <si>
    <t>6134-1</t>
  </si>
  <si>
    <t>6130-1</t>
  </si>
  <si>
    <t>6132-1</t>
  </si>
  <si>
    <t>6128-1</t>
  </si>
  <si>
    <t>6129-1</t>
  </si>
  <si>
    <t>6127-1</t>
  </si>
  <si>
    <t>6125-1</t>
  </si>
  <si>
    <t>6124-1</t>
  </si>
  <si>
    <t>6121-1</t>
  </si>
  <si>
    <t>6123-1</t>
  </si>
  <si>
    <t>6119-1</t>
  </si>
  <si>
    <t>6118-1</t>
  </si>
  <si>
    <t>6116-1</t>
  </si>
  <si>
    <t>6114-1</t>
  </si>
  <si>
    <t>6112-1</t>
  </si>
  <si>
    <t>6113-1</t>
  </si>
  <si>
    <t>6110-1</t>
  </si>
  <si>
    <t>6108-1</t>
  </si>
  <si>
    <t>6109-1</t>
  </si>
  <si>
    <t>6104-1</t>
  </si>
  <si>
    <t>6104-2</t>
  </si>
  <si>
    <t>6102-1</t>
  </si>
  <si>
    <t>6103-1</t>
  </si>
  <si>
    <t>6100-1</t>
  </si>
  <si>
    <t>6098-1</t>
  </si>
  <si>
    <t>6099-1</t>
  </si>
  <si>
    <t>6095-1</t>
  </si>
  <si>
    <t>6096-1</t>
  </si>
  <si>
    <t>6094-1</t>
  </si>
  <si>
    <t>6091-1</t>
  </si>
  <si>
    <t>6091-2</t>
  </si>
  <si>
    <t>6090-1</t>
  </si>
  <si>
    <t>6086-1</t>
  </si>
  <si>
    <t>6083-1</t>
  </si>
  <si>
    <t>6079-1</t>
  </si>
  <si>
    <t>6077-1</t>
  </si>
  <si>
    <t>6071-1</t>
  </si>
  <si>
    <t>6070-1</t>
  </si>
  <si>
    <t>6067-1</t>
  </si>
  <si>
    <t>6065-1</t>
  </si>
  <si>
    <t>6059-1</t>
  </si>
  <si>
    <t>6058-1</t>
  </si>
  <si>
    <t>6055-1</t>
  </si>
  <si>
    <t>6054-1</t>
  </si>
  <si>
    <t>6050-1</t>
  </si>
  <si>
    <t>6052-1</t>
  </si>
  <si>
    <t>6046-1</t>
  </si>
  <si>
    <t>6048-1</t>
  </si>
  <si>
    <t>6044-1</t>
  </si>
  <si>
    <t>6042-1</t>
  </si>
  <si>
    <t>6041-1</t>
  </si>
  <si>
    <t>6038-1</t>
  </si>
  <si>
    <t>6039-1</t>
  </si>
  <si>
    <t>6034-1</t>
  </si>
  <si>
    <t>6036-1</t>
  </si>
  <si>
    <t>6037-1</t>
  </si>
  <si>
    <t>6032-1</t>
  </si>
  <si>
    <t>6030-1</t>
  </si>
  <si>
    <t>6029-1</t>
  </si>
  <si>
    <t>6027-1</t>
  </si>
  <si>
    <t>6025-1</t>
  </si>
  <si>
    <t>6023-1</t>
  </si>
  <si>
    <t>6017-1</t>
  </si>
  <si>
    <t>6019-1</t>
  </si>
  <si>
    <t>6021-1</t>
  </si>
  <si>
    <t>5894-1</t>
  </si>
  <si>
    <t>5891-1</t>
  </si>
  <si>
    <t>5887-1</t>
  </si>
  <si>
    <t>5887-2</t>
  </si>
  <si>
    <t>5886-1</t>
  </si>
  <si>
    <t>5885-1</t>
  </si>
  <si>
    <t>5884-1</t>
  </si>
  <si>
    <t>5882-1</t>
  </si>
  <si>
    <t>5879-1</t>
  </si>
  <si>
    <t>5877-1</t>
  </si>
  <si>
    <t>5875-1</t>
  </si>
  <si>
    <t>5872-1</t>
  </si>
  <si>
    <t>5869-1</t>
  </si>
  <si>
    <t>5869-2</t>
  </si>
  <si>
    <t>5870-1</t>
  </si>
  <si>
    <t>5868-1</t>
  </si>
  <si>
    <t>5867-1</t>
  </si>
  <si>
    <t>5865-1</t>
  </si>
  <si>
    <t>5863-1</t>
  </si>
  <si>
    <t>5857-1</t>
  </si>
  <si>
    <t>5859-1</t>
  </si>
  <si>
    <t>5861-1</t>
  </si>
  <si>
    <t>5854-1</t>
  </si>
  <si>
    <t>5851-1</t>
  </si>
  <si>
    <t>5847-1</t>
  </si>
  <si>
    <t>5843-1</t>
  </si>
  <si>
    <t>5845-1</t>
  </si>
  <si>
    <t>5842-1</t>
  </si>
  <si>
    <t>5840-1</t>
  </si>
  <si>
    <t>5841-1</t>
  </si>
  <si>
    <t>5837-1</t>
  </si>
  <si>
    <t>5838-1</t>
  </si>
  <si>
    <t>5835-1</t>
  </si>
  <si>
    <t>5834-1</t>
  </si>
  <si>
    <t>5832-1</t>
  </si>
  <si>
    <t>5831-1</t>
  </si>
  <si>
    <t>5827-1</t>
  </si>
  <si>
    <t>5829-1</t>
  </si>
  <si>
    <t>5824-1</t>
  </si>
  <si>
    <t>5826-1</t>
  </si>
  <si>
    <t>5822-1</t>
  </si>
  <si>
    <t>5821-1</t>
  </si>
  <si>
    <t>5819-1</t>
  </si>
  <si>
    <t>5818-1</t>
  </si>
  <si>
    <t>5816-1</t>
  </si>
  <si>
    <t>5815-1</t>
  </si>
  <si>
    <t>5813-1</t>
  </si>
  <si>
    <t>5814-1</t>
  </si>
  <si>
    <t>5811-1</t>
  </si>
  <si>
    <t>5809-1</t>
  </si>
  <si>
    <t>5807-1</t>
  </si>
  <si>
    <t>5806-1</t>
  </si>
  <si>
    <t>5804-1</t>
  </si>
  <si>
    <t>5804-2</t>
  </si>
  <si>
    <t>5803-1</t>
  </si>
  <si>
    <t>5801-1</t>
  </si>
  <si>
    <t>5800-1</t>
  </si>
  <si>
    <t>5793-1</t>
  </si>
  <si>
    <t>5757-1</t>
  </si>
  <si>
    <t>5755-1</t>
  </si>
  <si>
    <t>5750-1</t>
  </si>
  <si>
    <t>5752-1</t>
  </si>
  <si>
    <t>5743-1</t>
  </si>
  <si>
    <t>5741-1</t>
  </si>
  <si>
    <t>5742-1</t>
  </si>
  <si>
    <t>5740-1</t>
  </si>
  <si>
    <t>5737-1</t>
  </si>
  <si>
    <t>5732-1</t>
  </si>
  <si>
    <t>5720-1</t>
  </si>
  <si>
    <t>5715-1</t>
  </si>
  <si>
    <t>5705-1</t>
  </si>
  <si>
    <t>5703-1</t>
  </si>
  <si>
    <t>5698-1</t>
  </si>
  <si>
    <t>5684-1</t>
  </si>
  <si>
    <t>5679-1</t>
  </si>
  <si>
    <t>5671-1</t>
  </si>
  <si>
    <t>5667-1</t>
  </si>
  <si>
    <t>5665-1</t>
  </si>
  <si>
    <t>5661-1</t>
  </si>
  <si>
    <t>5659-1</t>
  </si>
  <si>
    <t>5658-1</t>
  </si>
  <si>
    <t>5655-1</t>
  </si>
  <si>
    <t>5655-2</t>
  </si>
  <si>
    <t>5653-1</t>
  </si>
  <si>
    <t>5645-1</t>
  </si>
  <si>
    <t>5533-1</t>
  </si>
  <si>
    <t>5526-1</t>
  </si>
  <si>
    <t>5514-1</t>
  </si>
  <si>
    <t>5505-1</t>
  </si>
  <si>
    <t>5504-1</t>
  </si>
  <si>
    <t>5496-1</t>
  </si>
  <si>
    <t>5487-1</t>
  </si>
  <si>
    <t>5478-1</t>
  </si>
  <si>
    <t>5470-1</t>
  </si>
  <si>
    <t>5471-1</t>
  </si>
  <si>
    <t>5461-1</t>
  </si>
  <si>
    <t>5458-1</t>
  </si>
  <si>
    <t>5455-1</t>
  </si>
  <si>
    <t>5445-1</t>
  </si>
  <si>
    <t>5439-1</t>
  </si>
  <si>
    <t>5434-1</t>
  </si>
  <si>
    <t>5413-1</t>
  </si>
  <si>
    <t>5405-1</t>
  </si>
  <si>
    <t>5402-2</t>
  </si>
  <si>
    <t>5389-1</t>
  </si>
  <si>
    <t>5373-1</t>
  </si>
  <si>
    <t>5357-1</t>
  </si>
  <si>
    <t>5349-1</t>
  </si>
  <si>
    <t>5346-1</t>
  </si>
  <si>
    <t>5335-1</t>
  </si>
  <si>
    <t>5326-1</t>
  </si>
  <si>
    <t>5321-1</t>
  </si>
  <si>
    <t>5316-1</t>
  </si>
  <si>
    <t>5318-1</t>
  </si>
  <si>
    <t>5315-1</t>
  </si>
  <si>
    <t>5313-1</t>
  </si>
  <si>
    <t>5314-1</t>
  </si>
  <si>
    <t>5310-1</t>
  </si>
  <si>
    <t>5311-1</t>
  </si>
  <si>
    <t>5312-1</t>
  </si>
  <si>
    <t>5307-1</t>
  </si>
  <si>
    <t>5309-1</t>
  </si>
  <si>
    <t>5305-1</t>
  </si>
  <si>
    <t>5304-1</t>
  </si>
  <si>
    <t>5303-1</t>
  </si>
  <si>
    <t>5302-1</t>
  </si>
  <si>
    <t>5299-1</t>
  </si>
  <si>
    <t>5300-1</t>
  </si>
  <si>
    <t>5298-1</t>
  </si>
  <si>
    <t>5296-1</t>
  </si>
  <si>
    <t>5294-1</t>
  </si>
  <si>
    <t>5292-1</t>
  </si>
  <si>
    <t>5290-1</t>
  </si>
  <si>
    <t>5291-1</t>
  </si>
  <si>
    <t>5288-1</t>
  </si>
  <si>
    <t>5265-1</t>
  </si>
  <si>
    <t>5261-1</t>
  </si>
  <si>
    <t>5263-1</t>
  </si>
  <si>
    <t>5260-1</t>
  </si>
  <si>
    <t>5259-1</t>
  </si>
  <si>
    <t>5257-1</t>
  </si>
  <si>
    <t>5256-1</t>
  </si>
  <si>
    <t>5254-1</t>
  </si>
  <si>
    <t>5251-1</t>
  </si>
  <si>
    <t>5253-1</t>
  </si>
  <si>
    <t>5250-1</t>
  </si>
  <si>
    <t>5248-1</t>
  </si>
  <si>
    <t>5247-1</t>
  </si>
  <si>
    <t>5246-1</t>
  </si>
  <si>
    <t>5244-1</t>
  </si>
  <si>
    <t>5242-1</t>
  </si>
  <si>
    <t>5239-1</t>
  </si>
  <si>
    <t>5240-1</t>
  </si>
  <si>
    <t>5241-1</t>
  </si>
  <si>
    <t>5238-1</t>
  </si>
  <si>
    <t>5234-1</t>
  </si>
  <si>
    <t>5235-1</t>
  </si>
  <si>
    <t>5220-1</t>
  </si>
  <si>
    <t>5218-1</t>
  </si>
  <si>
    <t>5215-1</t>
  </si>
  <si>
    <t>5216-1</t>
  </si>
  <si>
    <t>5209-1</t>
  </si>
  <si>
    <t>5208-1</t>
  </si>
  <si>
    <t>5206-1</t>
  </si>
  <si>
    <t>5201-1</t>
  </si>
  <si>
    <t>5200-1</t>
  </si>
  <si>
    <t>5193-1</t>
  </si>
  <si>
    <t>5189-1</t>
  </si>
  <si>
    <t>5188-1</t>
  </si>
  <si>
    <t>5183-1</t>
  </si>
  <si>
    <t>5177-1</t>
  </si>
  <si>
    <t>5175-1</t>
  </si>
  <si>
    <t>5173-1</t>
  </si>
  <si>
    <t>5160-1</t>
  </si>
  <si>
    <t>5160-2</t>
  </si>
  <si>
    <t>5159-1</t>
  </si>
  <si>
    <t>5156-1</t>
  </si>
  <si>
    <t>5145-1</t>
  </si>
  <si>
    <t>5148-1</t>
  </si>
  <si>
    <t>5140-1</t>
  </si>
  <si>
    <t>5138-1</t>
  </si>
  <si>
    <t>5133-1</t>
  </si>
  <si>
    <t>5129-1</t>
  </si>
  <si>
    <t>5119-1</t>
  </si>
  <si>
    <t>5117-1</t>
  </si>
  <si>
    <t>5113-1</t>
  </si>
  <si>
    <t>5115-1</t>
  </si>
  <si>
    <t>5111-1</t>
  </si>
  <si>
    <t>5112-1</t>
  </si>
  <si>
    <t>5109-1</t>
  </si>
  <si>
    <t>5108-1</t>
  </si>
  <si>
    <t>5106-1</t>
  </si>
  <si>
    <t>5104-1</t>
  </si>
  <si>
    <t>5101-1</t>
  </si>
  <si>
    <t>5103-1</t>
  </si>
  <si>
    <t>5099-1</t>
  </si>
  <si>
    <t>5095-1</t>
  </si>
  <si>
    <t>5097-1</t>
  </si>
  <si>
    <t>5091-1</t>
  </si>
  <si>
    <t>5093-1</t>
  </si>
  <si>
    <t>5090-1</t>
  </si>
  <si>
    <t>5089-1</t>
  </si>
  <si>
    <t>5086-1</t>
  </si>
  <si>
    <t>5087-1</t>
  </si>
  <si>
    <t>5084-1</t>
  </si>
  <si>
    <t>5083-1</t>
  </si>
  <si>
    <t>5079-1</t>
  </si>
  <si>
    <t>Rajshahi</t>
  </si>
  <si>
    <t>Barisal</t>
  </si>
  <si>
    <t>Chittagong</t>
  </si>
  <si>
    <t>Order Date</t>
  </si>
  <si>
    <t>Sub Total</t>
  </si>
  <si>
    <t>Discount $</t>
  </si>
  <si>
    <t>Delivery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</si>
</sst>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[$৳-845]_-;\-* #,##0.00[$৳-845]_-;_-* &quot;-&quot;??[$৳-845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3" fillId="3" borderId="0" xfId="0" applyFont="1" applyFill="1" applyAlignment="1">
      <alignment horizontal="left" vertical="center"/>
    </xf>
    <xf numFmtId="164" fontId="3" fillId="3" borderId="0" xfId="1" applyNumberFormat="1" applyFont="1" applyFill="1" applyBorder="1" applyAlignment="1">
      <alignment horizontal="left" vertical="center"/>
    </xf>
    <xf numFmtId="0" fontId="4" fillId="0" borderId="0" xfId="0" applyFont="1"/>
    <xf numFmtId="164" fontId="4" fillId="0" borderId="0" xfId="0" applyNumberFormat="1" applyFont="1"/>
    <xf numFmtId="164" fontId="0" fillId="0" borderId="0" xfId="0" applyNumberFormat="1"/>
    <xf numFmtId="14" fontId="0" fillId="0" borderId="0" xfId="0" applyNumberFormat="1" applyAlignment="1">
      <alignment horizontal="left"/>
    </xf>
    <xf numFmtId="164" fontId="4" fillId="0" borderId="0" xfId="1" applyNumberFormat="1" applyFont="1" applyFill="1"/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4" borderId="0" xfId="0" applyFont="1" applyFill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222250</xdr:colOff>
      <xdr:row>1</xdr:row>
      <xdr:rowOff>15874</xdr:rowOff>
    </xdr:from>
    <xdr:to>
      <xdr:col>18</xdr:col>
      <xdr:colOff>63500</xdr:colOff>
      <xdr:row>18</xdr:row>
      <xdr:rowOff>54427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9121C9-7959-44B1-B24E-1252351C7A37}"/>
            </a:ext>
          </a:extLst>
        </xdr:cNvPr>
        <xdr:cNvSpPr txBox="1"/>
      </xdr:nvSpPr>
      <xdr:spPr>
        <a:xfrm>
          <a:off x="11924393" y="378731"/>
          <a:ext cx="4703536" cy="3122839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25</a:t>
          </a:r>
        </a:p>
        <a:p>
          <a:pPr lvl="0"/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Print Comapny XYZ's dataset by following the steps shown below: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1:</a:t>
          </a: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Sort the city column from A to Z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2:</a:t>
          </a: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Page Layout option &amp; the Margin, Orientation, Size &amp; Scale to fit tools, fit the dataset columns into one page.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3:</a:t>
          </a: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By using the Page Break View option, drag the blue lines to separate each district so that they are all placed into different pages.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4:</a:t>
          </a: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Print Title tool, ensure that the column headings are repeated in each printable page</a:t>
          </a:r>
        </a:p>
        <a:p>
          <a:pPr lvl="0"/>
          <a:b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*Tip - Press CRTL+P to cross check your work.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7200-E16F-46D0-A965-C4165A890FF3}">
  <sheetPr>
    <pageSetUpPr autoPageBreaks="0"/>
  </sheetPr>
  <dimension ref="A1:J617"/>
  <sheetViews>
    <sheetView tabSelected="1" zoomScale="70" zoomScaleNormal="70" zoomScaleSheetLayoutView="80" zoomScalePageLayoutView="70" workbookViewId="0">
      <selection activeCell="A2" sqref="A2"/>
    </sheetView>
  </sheetViews>
  <sheetFormatPr defaultRowHeight="14.5" x14ac:dyDescent="0.35"/>
  <cols>
    <col min="1" max="10" width="16.7265625" customWidth="1"/>
  </cols>
  <sheetData>
    <row r="1" spans="1:10" ht="28.5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5">
      <c r="A2" s="1" t="s">
        <v>1</v>
      </c>
      <c r="B2" s="1" t="s">
        <v>590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591</v>
      </c>
      <c r="H2" s="1" t="s">
        <v>592</v>
      </c>
      <c r="I2" s="1" t="s">
        <v>593</v>
      </c>
      <c r="J2" s="2" t="s">
        <v>6</v>
      </c>
    </row>
    <row r="3" spans="1:10" x14ac:dyDescent="0.35">
      <c r="A3" s="3" t="s">
        <v>7</v>
      </c>
      <c r="B3" s="6">
        <v>43938</v>
      </c>
      <c r="C3" s="10" t="s">
        <v>8</v>
      </c>
      <c r="D3" s="3" t="s">
        <v>9</v>
      </c>
      <c r="E3" s="4">
        <v>90.48</v>
      </c>
      <c r="F3" s="3">
        <v>16</v>
      </c>
      <c r="G3" s="3">
        <f t="shared" ref="G3:G66" si="0">E3*F3</f>
        <v>1447.68</v>
      </c>
      <c r="H3" s="3">
        <f t="shared" ref="H3:H66" si="1">G3*5%</f>
        <v>72.384</v>
      </c>
      <c r="I3" s="7">
        <v>19.989999999999998</v>
      </c>
      <c r="J3" s="5">
        <f t="shared" ref="J3:J66" si="2">G3-H3-I3</f>
        <v>1355.306</v>
      </c>
    </row>
    <row r="4" spans="1:10" x14ac:dyDescent="0.35">
      <c r="A4" s="3" t="s">
        <v>10</v>
      </c>
      <c r="B4" s="6">
        <v>43937</v>
      </c>
      <c r="C4" s="10" t="s">
        <v>588</v>
      </c>
      <c r="D4" s="3" t="s">
        <v>9</v>
      </c>
      <c r="E4" s="4">
        <v>19.98</v>
      </c>
      <c r="F4" s="3">
        <v>31</v>
      </c>
      <c r="G4" s="3">
        <f t="shared" si="0"/>
        <v>619.38</v>
      </c>
      <c r="H4" s="3">
        <f t="shared" si="1"/>
        <v>30.969000000000001</v>
      </c>
      <c r="I4" s="7">
        <v>4</v>
      </c>
      <c r="J4" s="5">
        <f t="shared" si="2"/>
        <v>584.41099999999994</v>
      </c>
    </row>
    <row r="5" spans="1:10" x14ac:dyDescent="0.35">
      <c r="A5" s="3" t="s">
        <v>12</v>
      </c>
      <c r="B5" s="6">
        <v>43936</v>
      </c>
      <c r="C5" s="10" t="s">
        <v>11</v>
      </c>
      <c r="D5" s="3" t="s">
        <v>9</v>
      </c>
      <c r="E5" s="4">
        <v>1.48</v>
      </c>
      <c r="F5" s="3">
        <v>10</v>
      </c>
      <c r="G5" s="3">
        <f t="shared" si="0"/>
        <v>14.8</v>
      </c>
      <c r="H5" s="3">
        <f t="shared" si="1"/>
        <v>0.7400000000000001</v>
      </c>
      <c r="I5" s="7">
        <v>0.7</v>
      </c>
      <c r="J5" s="5">
        <f t="shared" si="2"/>
        <v>13.360000000000001</v>
      </c>
    </row>
    <row r="6" spans="1:10" x14ac:dyDescent="0.35">
      <c r="A6" s="3" t="s">
        <v>13</v>
      </c>
      <c r="B6" s="6">
        <v>43935</v>
      </c>
      <c r="C6" s="10" t="s">
        <v>589</v>
      </c>
      <c r="D6" s="3" t="s">
        <v>9</v>
      </c>
      <c r="E6" s="4">
        <v>20.98</v>
      </c>
      <c r="F6" s="3">
        <v>2</v>
      </c>
      <c r="G6" s="3">
        <f t="shared" si="0"/>
        <v>41.96</v>
      </c>
      <c r="H6" s="3">
        <f t="shared" si="1"/>
        <v>2.0980000000000003</v>
      </c>
      <c r="I6" s="7">
        <v>1.49</v>
      </c>
      <c r="J6" s="5">
        <f t="shared" si="2"/>
        <v>38.372</v>
      </c>
    </row>
    <row r="7" spans="1:10" x14ac:dyDescent="0.35">
      <c r="A7" s="3" t="s">
        <v>14</v>
      </c>
      <c r="B7" s="6">
        <v>43934</v>
      </c>
      <c r="C7" s="10" t="s">
        <v>8</v>
      </c>
      <c r="D7" s="3" t="s">
        <v>9</v>
      </c>
      <c r="E7" s="4">
        <v>20.98</v>
      </c>
      <c r="F7" s="3">
        <v>41</v>
      </c>
      <c r="G7" s="3">
        <f t="shared" si="0"/>
        <v>860.18000000000006</v>
      </c>
      <c r="H7" s="3">
        <f t="shared" si="1"/>
        <v>43.009000000000007</v>
      </c>
      <c r="I7" s="7">
        <v>1.49</v>
      </c>
      <c r="J7" s="5">
        <f t="shared" si="2"/>
        <v>815.68100000000004</v>
      </c>
    </row>
    <row r="8" spans="1:10" x14ac:dyDescent="0.35">
      <c r="A8" s="3" t="s">
        <v>15</v>
      </c>
      <c r="B8" s="6">
        <v>43933</v>
      </c>
      <c r="C8" s="10" t="s">
        <v>587</v>
      </c>
      <c r="D8" s="3" t="s">
        <v>9</v>
      </c>
      <c r="E8" s="4">
        <v>2.61</v>
      </c>
      <c r="F8" s="3">
        <v>38</v>
      </c>
      <c r="G8" s="3">
        <f t="shared" si="0"/>
        <v>99.179999999999993</v>
      </c>
      <c r="H8" s="3">
        <f t="shared" si="1"/>
        <v>4.9589999999999996</v>
      </c>
      <c r="I8" s="7">
        <v>0.5</v>
      </c>
      <c r="J8" s="5">
        <f t="shared" si="2"/>
        <v>93.720999999999989</v>
      </c>
    </row>
    <row r="9" spans="1:10" x14ac:dyDescent="0.35">
      <c r="A9" s="3" t="s">
        <v>16</v>
      </c>
      <c r="B9" s="6">
        <v>43932</v>
      </c>
      <c r="C9" s="10" t="s">
        <v>588</v>
      </c>
      <c r="D9" s="3" t="s">
        <v>9</v>
      </c>
      <c r="E9" s="4">
        <v>7.08</v>
      </c>
      <c r="F9" s="3">
        <v>46</v>
      </c>
      <c r="G9" s="3">
        <f t="shared" si="0"/>
        <v>325.68</v>
      </c>
      <c r="H9" s="3">
        <f t="shared" si="1"/>
        <v>16.284000000000002</v>
      </c>
      <c r="I9" s="7">
        <v>2.35</v>
      </c>
      <c r="J9" s="5">
        <f t="shared" si="2"/>
        <v>307.04599999999999</v>
      </c>
    </row>
    <row r="10" spans="1:10" x14ac:dyDescent="0.35">
      <c r="A10" s="3" t="s">
        <v>17</v>
      </c>
      <c r="B10" s="6">
        <v>43931</v>
      </c>
      <c r="C10" s="10" t="s">
        <v>8</v>
      </c>
      <c r="D10" s="3" t="s">
        <v>9</v>
      </c>
      <c r="E10" s="4">
        <v>3.57</v>
      </c>
      <c r="F10" s="3">
        <v>25</v>
      </c>
      <c r="G10" s="3">
        <f t="shared" si="0"/>
        <v>89.25</v>
      </c>
      <c r="H10" s="3">
        <f t="shared" si="1"/>
        <v>4.4625000000000004</v>
      </c>
      <c r="I10" s="7">
        <v>4.17</v>
      </c>
      <c r="J10" s="5">
        <f t="shared" si="2"/>
        <v>80.617499999999993</v>
      </c>
    </row>
    <row r="11" spans="1:10" x14ac:dyDescent="0.35">
      <c r="A11" s="3" t="s">
        <v>18</v>
      </c>
      <c r="B11" s="6">
        <v>43930</v>
      </c>
      <c r="C11" s="10" t="s">
        <v>587</v>
      </c>
      <c r="D11" s="3" t="s">
        <v>19</v>
      </c>
      <c r="E11" s="4">
        <v>120.97</v>
      </c>
      <c r="F11" s="3">
        <v>4</v>
      </c>
      <c r="G11" s="3">
        <f t="shared" si="0"/>
        <v>483.88</v>
      </c>
      <c r="H11" s="3">
        <f t="shared" si="1"/>
        <v>24.194000000000003</v>
      </c>
      <c r="I11" s="7">
        <v>26.3</v>
      </c>
      <c r="J11" s="5">
        <f t="shared" si="2"/>
        <v>433.38599999999997</v>
      </c>
    </row>
    <row r="12" spans="1:10" x14ac:dyDescent="0.35">
      <c r="A12" s="3" t="s">
        <v>20</v>
      </c>
      <c r="B12" s="6">
        <v>43929</v>
      </c>
      <c r="C12" s="10" t="s">
        <v>8</v>
      </c>
      <c r="D12" s="3" t="s">
        <v>9</v>
      </c>
      <c r="E12" s="4">
        <v>6.23</v>
      </c>
      <c r="F12" s="3">
        <v>25</v>
      </c>
      <c r="G12" s="3">
        <f t="shared" si="0"/>
        <v>155.75</v>
      </c>
      <c r="H12" s="3">
        <f t="shared" si="1"/>
        <v>7.7875000000000005</v>
      </c>
      <c r="I12" s="7">
        <v>6.97</v>
      </c>
      <c r="J12" s="5">
        <f t="shared" si="2"/>
        <v>140.99250000000001</v>
      </c>
    </row>
    <row r="13" spans="1:10" x14ac:dyDescent="0.35">
      <c r="A13" s="3" t="s">
        <v>21</v>
      </c>
      <c r="B13" s="6">
        <v>43928</v>
      </c>
      <c r="C13" s="10" t="s">
        <v>11</v>
      </c>
      <c r="D13" s="3" t="s">
        <v>9</v>
      </c>
      <c r="E13" s="4">
        <v>300.97000000000003</v>
      </c>
      <c r="F13" s="3">
        <v>29</v>
      </c>
      <c r="G13" s="3">
        <f t="shared" si="0"/>
        <v>8728.130000000001</v>
      </c>
      <c r="H13" s="3">
        <f t="shared" si="1"/>
        <v>436.40650000000005</v>
      </c>
      <c r="I13" s="7">
        <v>7.18</v>
      </c>
      <c r="J13" s="5">
        <f t="shared" si="2"/>
        <v>8284.5434999999998</v>
      </c>
    </row>
    <row r="14" spans="1:10" x14ac:dyDescent="0.35">
      <c r="A14" s="3" t="s">
        <v>22</v>
      </c>
      <c r="B14" s="6">
        <v>43927</v>
      </c>
      <c r="C14" s="10" t="s">
        <v>8</v>
      </c>
      <c r="D14" s="3" t="s">
        <v>9</v>
      </c>
      <c r="E14" s="4">
        <v>5.74</v>
      </c>
      <c r="F14" s="3">
        <v>46</v>
      </c>
      <c r="G14" s="3">
        <f t="shared" si="0"/>
        <v>264.04000000000002</v>
      </c>
      <c r="H14" s="3">
        <f t="shared" si="1"/>
        <v>13.202000000000002</v>
      </c>
      <c r="I14" s="7">
        <v>5.01</v>
      </c>
      <c r="J14" s="5">
        <f t="shared" si="2"/>
        <v>245.82800000000003</v>
      </c>
    </row>
    <row r="15" spans="1:10" x14ac:dyDescent="0.35">
      <c r="A15" s="3" t="s">
        <v>23</v>
      </c>
      <c r="B15" s="6">
        <v>43926</v>
      </c>
      <c r="C15" s="10" t="s">
        <v>587</v>
      </c>
      <c r="D15" s="3" t="s">
        <v>9</v>
      </c>
      <c r="E15" s="4">
        <v>3.85</v>
      </c>
      <c r="F15" s="3">
        <v>18</v>
      </c>
      <c r="G15" s="3">
        <f t="shared" si="0"/>
        <v>69.3</v>
      </c>
      <c r="H15" s="3">
        <f t="shared" si="1"/>
        <v>3.4649999999999999</v>
      </c>
      <c r="I15" s="7">
        <v>0.7</v>
      </c>
      <c r="J15" s="5">
        <f t="shared" si="2"/>
        <v>65.134999999999991</v>
      </c>
    </row>
    <row r="16" spans="1:10" x14ac:dyDescent="0.35">
      <c r="A16" s="3" t="s">
        <v>24</v>
      </c>
      <c r="B16" s="6">
        <v>43925</v>
      </c>
      <c r="C16" s="10" t="s">
        <v>8</v>
      </c>
      <c r="D16" s="3" t="s">
        <v>9</v>
      </c>
      <c r="E16" s="4">
        <v>7.28</v>
      </c>
      <c r="F16" s="3">
        <v>24</v>
      </c>
      <c r="G16" s="3">
        <f t="shared" si="0"/>
        <v>174.72</v>
      </c>
      <c r="H16" s="3">
        <f t="shared" si="1"/>
        <v>8.7360000000000007</v>
      </c>
      <c r="I16" s="7">
        <v>11.15</v>
      </c>
      <c r="J16" s="5">
        <f t="shared" si="2"/>
        <v>154.834</v>
      </c>
    </row>
    <row r="17" spans="1:10" x14ac:dyDescent="0.35">
      <c r="A17" s="3" t="s">
        <v>25</v>
      </c>
      <c r="B17" s="6">
        <v>43924</v>
      </c>
      <c r="C17" s="10" t="s">
        <v>8</v>
      </c>
      <c r="D17" s="3" t="s">
        <v>9</v>
      </c>
      <c r="E17" s="4">
        <v>20.99</v>
      </c>
      <c r="F17" s="3">
        <v>29</v>
      </c>
      <c r="G17" s="3">
        <f t="shared" si="0"/>
        <v>608.70999999999992</v>
      </c>
      <c r="H17" s="3">
        <f t="shared" si="1"/>
        <v>30.435499999999998</v>
      </c>
      <c r="I17" s="7">
        <v>4.8099999999999996</v>
      </c>
      <c r="J17" s="5">
        <f t="shared" si="2"/>
        <v>573.46449999999993</v>
      </c>
    </row>
    <row r="18" spans="1:10" x14ac:dyDescent="0.35">
      <c r="A18" s="3" t="s">
        <v>26</v>
      </c>
      <c r="B18" s="6">
        <v>43923</v>
      </c>
      <c r="C18" s="10" t="s">
        <v>8</v>
      </c>
      <c r="D18" s="3" t="s">
        <v>27</v>
      </c>
      <c r="E18" s="4">
        <v>12.98</v>
      </c>
      <c r="F18" s="3">
        <v>10</v>
      </c>
      <c r="G18" s="3">
        <f t="shared" si="0"/>
        <v>129.80000000000001</v>
      </c>
      <c r="H18" s="3">
        <f t="shared" si="1"/>
        <v>6.4900000000000011</v>
      </c>
      <c r="I18" s="7">
        <v>3.14</v>
      </c>
      <c r="J18" s="5">
        <f t="shared" si="2"/>
        <v>120.17000000000002</v>
      </c>
    </row>
    <row r="19" spans="1:10" x14ac:dyDescent="0.35">
      <c r="A19" s="3" t="s">
        <v>28</v>
      </c>
      <c r="B19" s="6">
        <v>43922</v>
      </c>
      <c r="C19" s="10" t="s">
        <v>587</v>
      </c>
      <c r="D19" s="3" t="s">
        <v>27</v>
      </c>
      <c r="E19" s="4">
        <v>30.98</v>
      </c>
      <c r="F19" s="3">
        <v>41</v>
      </c>
      <c r="G19" s="3">
        <f t="shared" si="0"/>
        <v>1270.18</v>
      </c>
      <c r="H19" s="3">
        <f t="shared" si="1"/>
        <v>63.509000000000007</v>
      </c>
      <c r="I19" s="7">
        <v>19.510000000000002</v>
      </c>
      <c r="J19" s="5">
        <f t="shared" si="2"/>
        <v>1187.1610000000001</v>
      </c>
    </row>
    <row r="20" spans="1:10" x14ac:dyDescent="0.35">
      <c r="A20" s="3" t="s">
        <v>29</v>
      </c>
      <c r="B20" s="6">
        <v>43921</v>
      </c>
      <c r="C20" s="10" t="s">
        <v>8</v>
      </c>
      <c r="D20" s="3" t="s">
        <v>27</v>
      </c>
      <c r="E20" s="4">
        <v>1.1399999999999999</v>
      </c>
      <c r="F20" s="3">
        <v>14</v>
      </c>
      <c r="G20" s="3">
        <f t="shared" si="0"/>
        <v>15.959999999999999</v>
      </c>
      <c r="H20" s="3">
        <f t="shared" si="1"/>
        <v>0.79800000000000004</v>
      </c>
      <c r="I20" s="7">
        <v>0.7</v>
      </c>
      <c r="J20" s="5">
        <f t="shared" si="2"/>
        <v>14.462</v>
      </c>
    </row>
    <row r="21" spans="1:10" x14ac:dyDescent="0.35">
      <c r="A21" s="3" t="s">
        <v>30</v>
      </c>
      <c r="B21" s="6">
        <v>43920</v>
      </c>
      <c r="C21" s="10" t="s">
        <v>588</v>
      </c>
      <c r="D21" s="3" t="s">
        <v>9</v>
      </c>
      <c r="E21" s="4">
        <v>7.28</v>
      </c>
      <c r="F21" s="3">
        <v>39</v>
      </c>
      <c r="G21" s="3">
        <f t="shared" si="0"/>
        <v>283.92</v>
      </c>
      <c r="H21" s="3">
        <f t="shared" si="1"/>
        <v>14.196000000000002</v>
      </c>
      <c r="I21" s="7">
        <v>11.15</v>
      </c>
      <c r="J21" s="5">
        <f t="shared" si="2"/>
        <v>258.57400000000001</v>
      </c>
    </row>
    <row r="22" spans="1:10" x14ac:dyDescent="0.35">
      <c r="A22" s="3" t="s">
        <v>31</v>
      </c>
      <c r="B22" s="6">
        <v>43919</v>
      </c>
      <c r="C22" s="10" t="s">
        <v>8</v>
      </c>
      <c r="D22" s="3" t="s">
        <v>9</v>
      </c>
      <c r="E22" s="4">
        <v>3.58</v>
      </c>
      <c r="F22" s="3">
        <v>38</v>
      </c>
      <c r="G22" s="3">
        <f t="shared" si="0"/>
        <v>136.04</v>
      </c>
      <c r="H22" s="3">
        <f t="shared" si="1"/>
        <v>6.8019999999999996</v>
      </c>
      <c r="I22" s="7">
        <v>5.47</v>
      </c>
      <c r="J22" s="5">
        <f t="shared" si="2"/>
        <v>123.768</v>
      </c>
    </row>
    <row r="23" spans="1:10" x14ac:dyDescent="0.35">
      <c r="A23" s="3" t="s">
        <v>32</v>
      </c>
      <c r="B23" s="6">
        <v>43918</v>
      </c>
      <c r="C23" s="10" t="s">
        <v>8</v>
      </c>
      <c r="D23" s="3" t="s">
        <v>9</v>
      </c>
      <c r="E23" s="4">
        <v>12.98</v>
      </c>
      <c r="F23" s="3">
        <v>49</v>
      </c>
      <c r="G23" s="3">
        <f t="shared" si="0"/>
        <v>636.02</v>
      </c>
      <c r="H23" s="3">
        <f t="shared" si="1"/>
        <v>31.801000000000002</v>
      </c>
      <c r="I23" s="7">
        <v>3.14</v>
      </c>
      <c r="J23" s="5">
        <f t="shared" si="2"/>
        <v>601.07899999999995</v>
      </c>
    </row>
    <row r="24" spans="1:10" x14ac:dyDescent="0.35">
      <c r="A24" s="3" t="s">
        <v>33</v>
      </c>
      <c r="B24" s="6">
        <v>43917</v>
      </c>
      <c r="C24" s="10" t="s">
        <v>8</v>
      </c>
      <c r="D24" s="3" t="s">
        <v>9</v>
      </c>
      <c r="E24" s="4">
        <v>2.88</v>
      </c>
      <c r="F24" s="3">
        <v>22</v>
      </c>
      <c r="G24" s="3">
        <f t="shared" si="0"/>
        <v>63.36</v>
      </c>
      <c r="H24" s="3">
        <f t="shared" si="1"/>
        <v>3.1680000000000001</v>
      </c>
      <c r="I24" s="7">
        <v>0.99</v>
      </c>
      <c r="J24" s="5">
        <f t="shared" si="2"/>
        <v>59.201999999999998</v>
      </c>
    </row>
    <row r="25" spans="1:10" x14ac:dyDescent="0.35">
      <c r="A25" s="3" t="s">
        <v>34</v>
      </c>
      <c r="B25" s="6">
        <v>43916</v>
      </c>
      <c r="C25" s="10" t="s">
        <v>8</v>
      </c>
      <c r="D25" s="3" t="s">
        <v>9</v>
      </c>
      <c r="E25" s="4">
        <v>100.98</v>
      </c>
      <c r="F25" s="3">
        <v>12</v>
      </c>
      <c r="G25" s="3">
        <f t="shared" si="0"/>
        <v>1211.76</v>
      </c>
      <c r="H25" s="3">
        <f t="shared" si="1"/>
        <v>60.588000000000001</v>
      </c>
      <c r="I25" s="7">
        <v>7.18</v>
      </c>
      <c r="J25" s="5">
        <f t="shared" si="2"/>
        <v>1143.992</v>
      </c>
    </row>
    <row r="26" spans="1:10" x14ac:dyDescent="0.35">
      <c r="A26" s="3" t="s">
        <v>35</v>
      </c>
      <c r="B26" s="6">
        <v>43915</v>
      </c>
      <c r="C26" s="10" t="s">
        <v>587</v>
      </c>
      <c r="D26" s="3" t="s">
        <v>9</v>
      </c>
      <c r="E26" s="4">
        <v>2.88</v>
      </c>
      <c r="F26" s="3">
        <v>26</v>
      </c>
      <c r="G26" s="3">
        <f t="shared" si="0"/>
        <v>74.88</v>
      </c>
      <c r="H26" s="3">
        <f t="shared" si="1"/>
        <v>3.7439999999999998</v>
      </c>
      <c r="I26" s="7">
        <v>0.99</v>
      </c>
      <c r="J26" s="5">
        <f t="shared" si="2"/>
        <v>70.146000000000001</v>
      </c>
    </row>
    <row r="27" spans="1:10" x14ac:dyDescent="0.35">
      <c r="A27" s="3" t="s">
        <v>36</v>
      </c>
      <c r="B27" s="6">
        <v>43914</v>
      </c>
      <c r="C27" s="10" t="s">
        <v>8</v>
      </c>
      <c r="D27" s="3" t="s">
        <v>9</v>
      </c>
      <c r="E27" s="4">
        <v>2.62</v>
      </c>
      <c r="F27" s="3">
        <v>35</v>
      </c>
      <c r="G27" s="3">
        <f t="shared" si="0"/>
        <v>91.7</v>
      </c>
      <c r="H27" s="3">
        <f t="shared" si="1"/>
        <v>4.585</v>
      </c>
      <c r="I27" s="7">
        <v>0.8</v>
      </c>
      <c r="J27" s="5">
        <f t="shared" si="2"/>
        <v>86.315000000000012</v>
      </c>
    </row>
    <row r="28" spans="1:10" x14ac:dyDescent="0.35">
      <c r="A28" s="3" t="s">
        <v>37</v>
      </c>
      <c r="B28" s="6">
        <v>43913</v>
      </c>
      <c r="C28" s="10" t="s">
        <v>588</v>
      </c>
      <c r="D28" s="3" t="s">
        <v>9</v>
      </c>
      <c r="E28" s="4">
        <v>152.47999999999999</v>
      </c>
      <c r="F28" s="3">
        <v>46</v>
      </c>
      <c r="G28" s="3">
        <f t="shared" si="0"/>
        <v>7014.08</v>
      </c>
      <c r="H28" s="3">
        <f t="shared" si="1"/>
        <v>350.70400000000001</v>
      </c>
      <c r="I28" s="7">
        <v>4</v>
      </c>
      <c r="J28" s="5">
        <f t="shared" si="2"/>
        <v>6659.3760000000002</v>
      </c>
    </row>
    <row r="29" spans="1:10" x14ac:dyDescent="0.35">
      <c r="A29" s="3" t="s">
        <v>38</v>
      </c>
      <c r="B29" s="6">
        <v>43912</v>
      </c>
      <c r="C29" s="10" t="s">
        <v>8</v>
      </c>
      <c r="D29" s="3" t="s">
        <v>9</v>
      </c>
      <c r="E29" s="4">
        <v>1.88</v>
      </c>
      <c r="F29" s="3">
        <v>22</v>
      </c>
      <c r="G29" s="3">
        <f t="shared" si="0"/>
        <v>41.36</v>
      </c>
      <c r="H29" s="3">
        <f t="shared" si="1"/>
        <v>2.0680000000000001</v>
      </c>
      <c r="I29" s="7">
        <v>1.49</v>
      </c>
      <c r="J29" s="5">
        <f t="shared" si="2"/>
        <v>37.802</v>
      </c>
    </row>
    <row r="30" spans="1:10" x14ac:dyDescent="0.35">
      <c r="A30" s="3" t="s">
        <v>39</v>
      </c>
      <c r="B30" s="6">
        <v>43911</v>
      </c>
      <c r="C30" s="10" t="s">
        <v>8</v>
      </c>
      <c r="D30" s="3" t="s">
        <v>9</v>
      </c>
      <c r="E30" s="4">
        <v>5.77</v>
      </c>
      <c r="F30" s="3">
        <v>42</v>
      </c>
      <c r="G30" s="3">
        <f t="shared" si="0"/>
        <v>242.33999999999997</v>
      </c>
      <c r="H30" s="3">
        <f t="shared" si="1"/>
        <v>12.116999999999999</v>
      </c>
      <c r="I30" s="7">
        <v>4.97</v>
      </c>
      <c r="J30" s="5">
        <f t="shared" si="2"/>
        <v>225.25299999999999</v>
      </c>
    </row>
    <row r="31" spans="1:10" x14ac:dyDescent="0.35">
      <c r="A31" s="3" t="s">
        <v>40</v>
      </c>
      <c r="B31" s="6">
        <v>43910</v>
      </c>
      <c r="C31" s="10" t="s">
        <v>587</v>
      </c>
      <c r="D31" s="3" t="s">
        <v>9</v>
      </c>
      <c r="E31" s="4">
        <v>2.78</v>
      </c>
      <c r="F31" s="3">
        <v>48</v>
      </c>
      <c r="G31" s="3">
        <f t="shared" si="0"/>
        <v>133.44</v>
      </c>
      <c r="H31" s="3">
        <f t="shared" si="1"/>
        <v>6.6720000000000006</v>
      </c>
      <c r="I31" s="7">
        <v>1.2</v>
      </c>
      <c r="J31" s="5">
        <f t="shared" si="2"/>
        <v>125.568</v>
      </c>
    </row>
    <row r="32" spans="1:10" x14ac:dyDescent="0.35">
      <c r="A32" s="3" t="s">
        <v>41</v>
      </c>
      <c r="B32" s="6">
        <v>43909</v>
      </c>
      <c r="C32" s="10" t="s">
        <v>588</v>
      </c>
      <c r="D32" s="3" t="s">
        <v>9</v>
      </c>
      <c r="E32" s="4">
        <v>15.98</v>
      </c>
      <c r="F32" s="3">
        <v>14</v>
      </c>
      <c r="G32" s="3">
        <f t="shared" si="0"/>
        <v>223.72</v>
      </c>
      <c r="H32" s="3">
        <f t="shared" si="1"/>
        <v>11.186</v>
      </c>
      <c r="I32" s="7">
        <v>4</v>
      </c>
      <c r="J32" s="5">
        <f t="shared" si="2"/>
        <v>208.53399999999999</v>
      </c>
    </row>
    <row r="33" spans="1:10" x14ac:dyDescent="0.35">
      <c r="A33" s="3" t="s">
        <v>42</v>
      </c>
      <c r="B33" s="6">
        <v>43908</v>
      </c>
      <c r="C33" s="10" t="s">
        <v>587</v>
      </c>
      <c r="D33" s="3" t="s">
        <v>9</v>
      </c>
      <c r="E33" s="4">
        <v>83.98</v>
      </c>
      <c r="F33" s="3">
        <v>38</v>
      </c>
      <c r="G33" s="3">
        <f t="shared" si="0"/>
        <v>3191.2400000000002</v>
      </c>
      <c r="H33" s="3">
        <f t="shared" si="1"/>
        <v>159.56200000000001</v>
      </c>
      <c r="I33" s="7">
        <v>5.01</v>
      </c>
      <c r="J33" s="5">
        <f t="shared" si="2"/>
        <v>3026.6680000000001</v>
      </c>
    </row>
    <row r="34" spans="1:10" x14ac:dyDescent="0.35">
      <c r="A34" s="3" t="s">
        <v>43</v>
      </c>
      <c r="B34" s="6">
        <v>43907</v>
      </c>
      <c r="C34" s="10" t="s">
        <v>588</v>
      </c>
      <c r="D34" s="3" t="s">
        <v>9</v>
      </c>
      <c r="E34" s="4">
        <v>3.89</v>
      </c>
      <c r="F34" s="3">
        <v>3</v>
      </c>
      <c r="G34" s="3">
        <f t="shared" si="0"/>
        <v>11.67</v>
      </c>
      <c r="H34" s="3">
        <f t="shared" si="1"/>
        <v>0.58350000000000002</v>
      </c>
      <c r="I34" s="7">
        <v>7.01</v>
      </c>
      <c r="J34" s="5">
        <f t="shared" si="2"/>
        <v>4.0764999999999993</v>
      </c>
    </row>
    <row r="35" spans="1:10" x14ac:dyDescent="0.35">
      <c r="A35" s="3" t="s">
        <v>44</v>
      </c>
      <c r="B35" s="6">
        <v>43906</v>
      </c>
      <c r="C35" s="10" t="s">
        <v>587</v>
      </c>
      <c r="D35" s="3" t="s">
        <v>9</v>
      </c>
      <c r="E35" s="4">
        <v>1.88</v>
      </c>
      <c r="F35" s="3">
        <v>19</v>
      </c>
      <c r="G35" s="3">
        <f t="shared" si="0"/>
        <v>35.72</v>
      </c>
      <c r="H35" s="3">
        <f t="shared" si="1"/>
        <v>1.786</v>
      </c>
      <c r="I35" s="7">
        <v>1.49</v>
      </c>
      <c r="J35" s="5">
        <f t="shared" si="2"/>
        <v>32.443999999999996</v>
      </c>
    </row>
    <row r="36" spans="1:10" x14ac:dyDescent="0.35">
      <c r="A36" s="3" t="s">
        <v>45</v>
      </c>
      <c r="B36" s="6">
        <v>43905</v>
      </c>
      <c r="C36" s="10" t="s">
        <v>588</v>
      </c>
      <c r="D36" s="3" t="s">
        <v>9</v>
      </c>
      <c r="E36" s="4">
        <v>2.08</v>
      </c>
      <c r="F36" s="3">
        <v>49</v>
      </c>
      <c r="G36" s="3">
        <f t="shared" si="0"/>
        <v>101.92</v>
      </c>
      <c r="H36" s="3">
        <f t="shared" si="1"/>
        <v>5.0960000000000001</v>
      </c>
      <c r="I36" s="7">
        <v>2.56</v>
      </c>
      <c r="J36" s="5">
        <f t="shared" si="2"/>
        <v>94.263999999999996</v>
      </c>
    </row>
    <row r="37" spans="1:10" x14ac:dyDescent="0.35">
      <c r="A37" s="3" t="s">
        <v>46</v>
      </c>
      <c r="B37" s="6">
        <v>43904</v>
      </c>
      <c r="C37" s="10" t="s">
        <v>587</v>
      </c>
      <c r="D37" s="3" t="s">
        <v>9</v>
      </c>
      <c r="E37" s="4">
        <v>152.47999999999999</v>
      </c>
      <c r="F37" s="3">
        <v>12</v>
      </c>
      <c r="G37" s="3">
        <f t="shared" si="0"/>
        <v>1829.7599999999998</v>
      </c>
      <c r="H37" s="3">
        <f t="shared" si="1"/>
        <v>91.488</v>
      </c>
      <c r="I37" s="7">
        <v>4</v>
      </c>
      <c r="J37" s="5">
        <f t="shared" si="2"/>
        <v>1734.2719999999997</v>
      </c>
    </row>
    <row r="38" spans="1:10" x14ac:dyDescent="0.35">
      <c r="A38" s="3" t="s">
        <v>47</v>
      </c>
      <c r="B38" s="6">
        <v>43903</v>
      </c>
      <c r="C38" s="10" t="s">
        <v>588</v>
      </c>
      <c r="D38" s="3" t="s">
        <v>9</v>
      </c>
      <c r="E38" s="4">
        <v>10.23</v>
      </c>
      <c r="F38" s="3">
        <v>19</v>
      </c>
      <c r="G38" s="3">
        <f t="shared" si="0"/>
        <v>194.37</v>
      </c>
      <c r="H38" s="3">
        <f t="shared" si="1"/>
        <v>9.7185000000000006</v>
      </c>
      <c r="I38" s="7">
        <v>4.68</v>
      </c>
      <c r="J38" s="5">
        <f t="shared" si="2"/>
        <v>179.97149999999999</v>
      </c>
    </row>
    <row r="39" spans="1:10" x14ac:dyDescent="0.35">
      <c r="A39" s="3" t="s">
        <v>48</v>
      </c>
      <c r="B39" s="6">
        <v>43902</v>
      </c>
      <c r="C39" s="10" t="s">
        <v>587</v>
      </c>
      <c r="D39" s="3" t="s">
        <v>9</v>
      </c>
      <c r="E39" s="4">
        <v>4</v>
      </c>
      <c r="F39" s="3">
        <v>28</v>
      </c>
      <c r="G39" s="3">
        <f t="shared" si="0"/>
        <v>112</v>
      </c>
      <c r="H39" s="3">
        <f t="shared" si="1"/>
        <v>5.6000000000000005</v>
      </c>
      <c r="I39" s="7">
        <v>1.3</v>
      </c>
      <c r="J39" s="5">
        <f t="shared" si="2"/>
        <v>105.10000000000001</v>
      </c>
    </row>
    <row r="40" spans="1:10" x14ac:dyDescent="0.35">
      <c r="A40" s="3" t="s">
        <v>49</v>
      </c>
      <c r="B40" s="6">
        <v>43901</v>
      </c>
      <c r="C40" s="10" t="s">
        <v>588</v>
      </c>
      <c r="D40" s="3" t="s">
        <v>27</v>
      </c>
      <c r="E40" s="4">
        <v>12.22</v>
      </c>
      <c r="F40" s="3">
        <v>17</v>
      </c>
      <c r="G40" s="3">
        <f t="shared" si="0"/>
        <v>207.74</v>
      </c>
      <c r="H40" s="3">
        <f t="shared" si="1"/>
        <v>10.387</v>
      </c>
      <c r="I40" s="7">
        <v>2.85</v>
      </c>
      <c r="J40" s="5">
        <f t="shared" si="2"/>
        <v>194.50300000000001</v>
      </c>
    </row>
    <row r="41" spans="1:10" x14ac:dyDescent="0.35">
      <c r="A41" s="3" t="s">
        <v>50</v>
      </c>
      <c r="B41" s="6">
        <v>43900</v>
      </c>
      <c r="C41" s="10" t="s">
        <v>588</v>
      </c>
      <c r="D41" s="3" t="s">
        <v>9</v>
      </c>
      <c r="E41" s="4">
        <v>29.74</v>
      </c>
      <c r="F41" s="3">
        <v>22</v>
      </c>
      <c r="G41" s="3">
        <f t="shared" si="0"/>
        <v>654.28</v>
      </c>
      <c r="H41" s="3">
        <f t="shared" si="1"/>
        <v>32.713999999999999</v>
      </c>
      <c r="I41" s="7">
        <v>6.64</v>
      </c>
      <c r="J41" s="5">
        <f t="shared" si="2"/>
        <v>614.92600000000004</v>
      </c>
    </row>
    <row r="42" spans="1:10" x14ac:dyDescent="0.35">
      <c r="A42" s="3" t="s">
        <v>51</v>
      </c>
      <c r="B42" s="6">
        <v>43899</v>
      </c>
      <c r="C42" s="10" t="s">
        <v>588</v>
      </c>
      <c r="D42" s="3" t="s">
        <v>9</v>
      </c>
      <c r="E42" s="4">
        <v>1.26</v>
      </c>
      <c r="F42" s="3">
        <v>37</v>
      </c>
      <c r="G42" s="3">
        <f t="shared" si="0"/>
        <v>46.62</v>
      </c>
      <c r="H42" s="3">
        <f t="shared" si="1"/>
        <v>2.331</v>
      </c>
      <c r="I42" s="7">
        <v>0.7</v>
      </c>
      <c r="J42" s="5">
        <f t="shared" si="2"/>
        <v>43.588999999999992</v>
      </c>
    </row>
    <row r="43" spans="1:10" x14ac:dyDescent="0.35">
      <c r="A43" s="3" t="s">
        <v>52</v>
      </c>
      <c r="B43" s="6">
        <v>43898</v>
      </c>
      <c r="C43" s="10" t="s">
        <v>589</v>
      </c>
      <c r="D43" s="3" t="s">
        <v>9</v>
      </c>
      <c r="E43" s="4">
        <v>4.26</v>
      </c>
      <c r="F43" s="3">
        <v>44</v>
      </c>
      <c r="G43" s="3">
        <f t="shared" si="0"/>
        <v>187.44</v>
      </c>
      <c r="H43" s="3">
        <f t="shared" si="1"/>
        <v>9.3719999999999999</v>
      </c>
      <c r="I43" s="7">
        <v>1.2</v>
      </c>
      <c r="J43" s="5">
        <f t="shared" si="2"/>
        <v>176.86799999999999</v>
      </c>
    </row>
    <row r="44" spans="1:10" x14ac:dyDescent="0.35">
      <c r="A44" s="3" t="s">
        <v>53</v>
      </c>
      <c r="B44" s="6">
        <v>43897</v>
      </c>
      <c r="C44" s="10" t="s">
        <v>588</v>
      </c>
      <c r="D44" s="3" t="s">
        <v>9</v>
      </c>
      <c r="E44" s="4">
        <v>2.08</v>
      </c>
      <c r="F44" s="3">
        <v>36</v>
      </c>
      <c r="G44" s="3">
        <f t="shared" si="0"/>
        <v>74.88</v>
      </c>
      <c r="H44" s="3">
        <f t="shared" si="1"/>
        <v>3.7439999999999998</v>
      </c>
      <c r="I44" s="7">
        <v>2.56</v>
      </c>
      <c r="J44" s="5">
        <f t="shared" si="2"/>
        <v>68.575999999999993</v>
      </c>
    </row>
    <row r="45" spans="1:10" x14ac:dyDescent="0.35">
      <c r="A45" s="3" t="s">
        <v>54</v>
      </c>
      <c r="B45" s="6">
        <v>43896</v>
      </c>
      <c r="C45" s="10" t="s">
        <v>588</v>
      </c>
      <c r="D45" s="3" t="s">
        <v>9</v>
      </c>
      <c r="E45" s="4">
        <v>2.98</v>
      </c>
      <c r="F45" s="3">
        <v>45</v>
      </c>
      <c r="G45" s="3">
        <f t="shared" si="0"/>
        <v>134.1</v>
      </c>
      <c r="H45" s="3">
        <f t="shared" si="1"/>
        <v>6.7050000000000001</v>
      </c>
      <c r="I45" s="7">
        <v>1.58</v>
      </c>
      <c r="J45" s="5">
        <f t="shared" si="2"/>
        <v>125.815</v>
      </c>
    </row>
    <row r="46" spans="1:10" x14ac:dyDescent="0.35">
      <c r="A46" s="3" t="s">
        <v>55</v>
      </c>
      <c r="B46" s="6">
        <v>43895</v>
      </c>
      <c r="C46" s="10" t="s">
        <v>588</v>
      </c>
      <c r="D46" s="3" t="s">
        <v>9</v>
      </c>
      <c r="E46" s="4">
        <v>2.6</v>
      </c>
      <c r="F46" s="3">
        <v>8</v>
      </c>
      <c r="G46" s="3">
        <f t="shared" si="0"/>
        <v>20.8</v>
      </c>
      <c r="H46" s="3">
        <f t="shared" si="1"/>
        <v>1.04</v>
      </c>
      <c r="I46" s="7">
        <v>2.4</v>
      </c>
      <c r="J46" s="5">
        <f t="shared" si="2"/>
        <v>17.360000000000003</v>
      </c>
    </row>
    <row r="47" spans="1:10" x14ac:dyDescent="0.35">
      <c r="A47" s="3" t="s">
        <v>56</v>
      </c>
      <c r="B47" s="6">
        <v>43894</v>
      </c>
      <c r="C47" s="10" t="s">
        <v>589</v>
      </c>
      <c r="D47" s="3" t="s">
        <v>9</v>
      </c>
      <c r="E47" s="4">
        <v>7.28</v>
      </c>
      <c r="F47" s="3">
        <v>18</v>
      </c>
      <c r="G47" s="3">
        <f t="shared" si="0"/>
        <v>131.04</v>
      </c>
      <c r="H47" s="3">
        <f t="shared" si="1"/>
        <v>6.5519999999999996</v>
      </c>
      <c r="I47" s="7">
        <v>11.15</v>
      </c>
      <c r="J47" s="5">
        <f t="shared" si="2"/>
        <v>113.33799999999999</v>
      </c>
    </row>
    <row r="48" spans="1:10" x14ac:dyDescent="0.35">
      <c r="A48" s="3" t="s">
        <v>57</v>
      </c>
      <c r="B48" s="6">
        <v>43893</v>
      </c>
      <c r="C48" s="10" t="s">
        <v>588</v>
      </c>
      <c r="D48" s="3" t="s">
        <v>9</v>
      </c>
      <c r="E48" s="4">
        <v>1.1399999999999999</v>
      </c>
      <c r="F48" s="3">
        <v>28</v>
      </c>
      <c r="G48" s="3">
        <f t="shared" si="0"/>
        <v>31.919999999999998</v>
      </c>
      <c r="H48" s="3">
        <f t="shared" si="1"/>
        <v>1.5960000000000001</v>
      </c>
      <c r="I48" s="7">
        <v>0.7</v>
      </c>
      <c r="J48" s="5">
        <f t="shared" si="2"/>
        <v>29.623999999999999</v>
      </c>
    </row>
    <row r="49" spans="1:10" x14ac:dyDescent="0.35">
      <c r="A49" s="3" t="s">
        <v>58</v>
      </c>
      <c r="B49" s="6">
        <v>43892</v>
      </c>
      <c r="C49" s="10" t="s">
        <v>589</v>
      </c>
      <c r="D49" s="3" t="s">
        <v>9</v>
      </c>
      <c r="E49" s="4">
        <v>34.76</v>
      </c>
      <c r="F49" s="3">
        <v>10</v>
      </c>
      <c r="G49" s="3">
        <f t="shared" si="0"/>
        <v>347.59999999999997</v>
      </c>
      <c r="H49" s="3">
        <f t="shared" si="1"/>
        <v>17.38</v>
      </c>
      <c r="I49" s="7">
        <v>8.2200000000000006</v>
      </c>
      <c r="J49" s="5">
        <f t="shared" si="2"/>
        <v>321.99999999999994</v>
      </c>
    </row>
    <row r="50" spans="1:10" x14ac:dyDescent="0.35">
      <c r="A50" s="3" t="s">
        <v>59</v>
      </c>
      <c r="B50" s="6">
        <v>43891</v>
      </c>
      <c r="C50" s="10" t="s">
        <v>588</v>
      </c>
      <c r="D50" s="3" t="s">
        <v>9</v>
      </c>
      <c r="E50" s="4">
        <v>152.47999999999999</v>
      </c>
      <c r="F50" s="3">
        <v>46</v>
      </c>
      <c r="G50" s="3">
        <f t="shared" si="0"/>
        <v>7014.08</v>
      </c>
      <c r="H50" s="3">
        <f t="shared" si="1"/>
        <v>350.70400000000001</v>
      </c>
      <c r="I50" s="7">
        <v>4</v>
      </c>
      <c r="J50" s="5">
        <f t="shared" si="2"/>
        <v>6659.3760000000002</v>
      </c>
    </row>
    <row r="51" spans="1:10" x14ac:dyDescent="0.35">
      <c r="A51" s="3" t="s">
        <v>60</v>
      </c>
      <c r="B51" s="6">
        <v>43890</v>
      </c>
      <c r="C51" s="10" t="s">
        <v>589</v>
      </c>
      <c r="D51" s="3" t="s">
        <v>27</v>
      </c>
      <c r="E51" s="4">
        <v>3.57</v>
      </c>
      <c r="F51" s="3">
        <v>10</v>
      </c>
      <c r="G51" s="3">
        <f t="shared" si="0"/>
        <v>35.699999999999996</v>
      </c>
      <c r="H51" s="3">
        <f t="shared" si="1"/>
        <v>1.7849999999999999</v>
      </c>
      <c r="I51" s="7">
        <v>4.17</v>
      </c>
      <c r="J51" s="5">
        <f t="shared" si="2"/>
        <v>29.744999999999997</v>
      </c>
    </row>
    <row r="52" spans="1:10" x14ac:dyDescent="0.35">
      <c r="A52" s="3" t="s">
        <v>61</v>
      </c>
      <c r="B52" s="6">
        <v>43889</v>
      </c>
      <c r="C52" s="10" t="s">
        <v>587</v>
      </c>
      <c r="D52" s="3" t="s">
        <v>9</v>
      </c>
      <c r="E52" s="4">
        <v>19.98</v>
      </c>
      <c r="F52" s="3">
        <v>29</v>
      </c>
      <c r="G52" s="3">
        <f t="shared" si="0"/>
        <v>579.41999999999996</v>
      </c>
      <c r="H52" s="3">
        <f t="shared" si="1"/>
        <v>28.971</v>
      </c>
      <c r="I52" s="7">
        <v>4</v>
      </c>
      <c r="J52" s="5">
        <f t="shared" si="2"/>
        <v>546.44899999999996</v>
      </c>
    </row>
    <row r="53" spans="1:10" x14ac:dyDescent="0.35">
      <c r="A53" s="3" t="s">
        <v>62</v>
      </c>
      <c r="B53" s="6">
        <v>43888</v>
      </c>
      <c r="C53" s="10" t="s">
        <v>588</v>
      </c>
      <c r="D53" s="3" t="s">
        <v>9</v>
      </c>
      <c r="E53" s="4">
        <v>2.88</v>
      </c>
      <c r="F53" s="3">
        <v>40</v>
      </c>
      <c r="G53" s="3">
        <f t="shared" si="0"/>
        <v>115.19999999999999</v>
      </c>
      <c r="H53" s="3">
        <f t="shared" si="1"/>
        <v>5.76</v>
      </c>
      <c r="I53" s="7">
        <v>1.49</v>
      </c>
      <c r="J53" s="5">
        <f t="shared" si="2"/>
        <v>107.94999999999999</v>
      </c>
    </row>
    <row r="54" spans="1:10" x14ac:dyDescent="0.35">
      <c r="A54" s="3" t="s">
        <v>63</v>
      </c>
      <c r="B54" s="6">
        <v>43887</v>
      </c>
      <c r="C54" s="10" t="s">
        <v>587</v>
      </c>
      <c r="D54" s="3" t="s">
        <v>9</v>
      </c>
      <c r="E54" s="4">
        <v>100.97</v>
      </c>
      <c r="F54" s="3">
        <v>42</v>
      </c>
      <c r="G54" s="3">
        <f t="shared" si="0"/>
        <v>4240.74</v>
      </c>
      <c r="H54" s="3">
        <f t="shared" si="1"/>
        <v>212.03700000000001</v>
      </c>
      <c r="I54" s="7">
        <v>7.18</v>
      </c>
      <c r="J54" s="5">
        <f t="shared" si="2"/>
        <v>4021.5230000000001</v>
      </c>
    </row>
    <row r="55" spans="1:10" x14ac:dyDescent="0.35">
      <c r="A55" s="3" t="s">
        <v>64</v>
      </c>
      <c r="B55" s="6">
        <v>43886</v>
      </c>
      <c r="C55" s="10" t="s">
        <v>587</v>
      </c>
      <c r="D55" s="3" t="s">
        <v>9</v>
      </c>
      <c r="E55" s="4">
        <v>6.08</v>
      </c>
      <c r="F55" s="3">
        <v>49</v>
      </c>
      <c r="G55" s="3">
        <f t="shared" si="0"/>
        <v>297.92</v>
      </c>
      <c r="H55" s="3">
        <f t="shared" si="1"/>
        <v>14.896000000000001</v>
      </c>
      <c r="I55" s="7">
        <v>1.17</v>
      </c>
      <c r="J55" s="5">
        <f t="shared" si="2"/>
        <v>281.85399999999998</v>
      </c>
    </row>
    <row r="56" spans="1:10" x14ac:dyDescent="0.35">
      <c r="A56" s="3" t="s">
        <v>65</v>
      </c>
      <c r="B56" s="6">
        <v>43885</v>
      </c>
      <c r="C56" s="10" t="s">
        <v>589</v>
      </c>
      <c r="D56" s="3" t="s">
        <v>9</v>
      </c>
      <c r="E56" s="4">
        <v>3.08</v>
      </c>
      <c r="F56" s="3">
        <v>18</v>
      </c>
      <c r="G56" s="3">
        <f t="shared" si="0"/>
        <v>55.44</v>
      </c>
      <c r="H56" s="3">
        <f t="shared" si="1"/>
        <v>2.7720000000000002</v>
      </c>
      <c r="I56" s="7">
        <v>0.99</v>
      </c>
      <c r="J56" s="5">
        <f t="shared" si="2"/>
        <v>51.677999999999997</v>
      </c>
    </row>
    <row r="57" spans="1:10" x14ac:dyDescent="0.35">
      <c r="A57" s="3" t="s">
        <v>66</v>
      </c>
      <c r="B57" s="6">
        <v>43884</v>
      </c>
      <c r="C57" s="10" t="s">
        <v>587</v>
      </c>
      <c r="D57" s="3" t="s">
        <v>9</v>
      </c>
      <c r="E57" s="4">
        <v>155.99</v>
      </c>
      <c r="F57" s="3">
        <v>24</v>
      </c>
      <c r="G57" s="3">
        <f t="shared" si="0"/>
        <v>3743.76</v>
      </c>
      <c r="H57" s="3">
        <f t="shared" si="1"/>
        <v>187.18800000000002</v>
      </c>
      <c r="I57" s="7">
        <v>8.08</v>
      </c>
      <c r="J57" s="5">
        <f t="shared" si="2"/>
        <v>3548.4920000000002</v>
      </c>
    </row>
    <row r="58" spans="1:10" x14ac:dyDescent="0.35">
      <c r="A58" s="3" t="s">
        <v>67</v>
      </c>
      <c r="B58" s="6">
        <v>43883</v>
      </c>
      <c r="C58" s="10" t="s">
        <v>587</v>
      </c>
      <c r="D58" s="3" t="s">
        <v>19</v>
      </c>
      <c r="E58" s="4">
        <v>449.99</v>
      </c>
      <c r="F58" s="3">
        <v>18</v>
      </c>
      <c r="G58" s="3">
        <f t="shared" si="0"/>
        <v>8099.82</v>
      </c>
      <c r="H58" s="3">
        <f t="shared" si="1"/>
        <v>404.99099999999999</v>
      </c>
      <c r="I58" s="7">
        <v>49</v>
      </c>
      <c r="J58" s="5">
        <f t="shared" si="2"/>
        <v>7645.8289999999997</v>
      </c>
    </row>
    <row r="59" spans="1:10" x14ac:dyDescent="0.35">
      <c r="A59" s="3" t="s">
        <v>68</v>
      </c>
      <c r="B59" s="6">
        <v>43882</v>
      </c>
      <c r="C59" s="10" t="s">
        <v>589</v>
      </c>
      <c r="D59" s="3" t="s">
        <v>9</v>
      </c>
      <c r="E59" s="4">
        <v>5.4</v>
      </c>
      <c r="F59" s="3">
        <v>1</v>
      </c>
      <c r="G59" s="3">
        <f t="shared" si="0"/>
        <v>5.4</v>
      </c>
      <c r="H59" s="3">
        <f t="shared" si="1"/>
        <v>0.27</v>
      </c>
      <c r="I59" s="7">
        <v>7.78</v>
      </c>
      <c r="J59" s="5">
        <f t="shared" si="2"/>
        <v>-2.6499999999999995</v>
      </c>
    </row>
    <row r="60" spans="1:10" x14ac:dyDescent="0.35">
      <c r="A60" s="3" t="s">
        <v>69</v>
      </c>
      <c r="B60" s="6">
        <v>43881</v>
      </c>
      <c r="C60" s="10" t="s">
        <v>8</v>
      </c>
      <c r="D60" s="3" t="s">
        <v>9</v>
      </c>
      <c r="E60" s="4">
        <v>2.88</v>
      </c>
      <c r="F60" s="3">
        <v>6</v>
      </c>
      <c r="G60" s="3">
        <f t="shared" si="0"/>
        <v>17.28</v>
      </c>
      <c r="H60" s="3">
        <f t="shared" si="1"/>
        <v>0.8640000000000001</v>
      </c>
      <c r="I60" s="7">
        <v>0.99</v>
      </c>
      <c r="J60" s="5">
        <f t="shared" si="2"/>
        <v>15.426</v>
      </c>
    </row>
    <row r="61" spans="1:10" x14ac:dyDescent="0.35">
      <c r="A61" s="3" t="s">
        <v>70</v>
      </c>
      <c r="B61" s="6">
        <v>43880</v>
      </c>
      <c r="C61" s="10" t="s">
        <v>8</v>
      </c>
      <c r="D61" s="3" t="s">
        <v>9</v>
      </c>
      <c r="E61" s="4">
        <v>1.81</v>
      </c>
      <c r="F61" s="3">
        <v>18</v>
      </c>
      <c r="G61" s="3">
        <f t="shared" si="0"/>
        <v>32.58</v>
      </c>
      <c r="H61" s="3">
        <f t="shared" si="1"/>
        <v>1.629</v>
      </c>
      <c r="I61" s="7">
        <v>0.75</v>
      </c>
      <c r="J61" s="5">
        <f t="shared" si="2"/>
        <v>30.200999999999997</v>
      </c>
    </row>
    <row r="62" spans="1:10" x14ac:dyDescent="0.35">
      <c r="A62" s="3" t="s">
        <v>71</v>
      </c>
      <c r="B62" s="6">
        <v>43879</v>
      </c>
      <c r="C62" s="10" t="s">
        <v>8</v>
      </c>
      <c r="D62" s="3" t="s">
        <v>9</v>
      </c>
      <c r="E62" s="4">
        <v>7.08</v>
      </c>
      <c r="F62" s="3">
        <v>29</v>
      </c>
      <c r="G62" s="3">
        <f t="shared" si="0"/>
        <v>205.32</v>
      </c>
      <c r="H62" s="3">
        <f t="shared" si="1"/>
        <v>10.266</v>
      </c>
      <c r="I62" s="7">
        <v>2.35</v>
      </c>
      <c r="J62" s="5">
        <f t="shared" si="2"/>
        <v>192.70400000000001</v>
      </c>
    </row>
    <row r="63" spans="1:10" x14ac:dyDescent="0.35">
      <c r="A63" s="3" t="s">
        <v>72</v>
      </c>
      <c r="B63" s="6">
        <v>43878</v>
      </c>
      <c r="C63" s="10" t="s">
        <v>8</v>
      </c>
      <c r="D63" s="3" t="s">
        <v>9</v>
      </c>
      <c r="E63" s="4">
        <v>5.68</v>
      </c>
      <c r="F63" s="3">
        <v>10</v>
      </c>
      <c r="G63" s="3">
        <f t="shared" si="0"/>
        <v>56.8</v>
      </c>
      <c r="H63" s="3">
        <f t="shared" si="1"/>
        <v>2.84</v>
      </c>
      <c r="I63" s="7">
        <v>1.39</v>
      </c>
      <c r="J63" s="5">
        <f t="shared" si="2"/>
        <v>52.569999999999993</v>
      </c>
    </row>
    <row r="64" spans="1:10" x14ac:dyDescent="0.35">
      <c r="A64" s="3" t="s">
        <v>73</v>
      </c>
      <c r="B64" s="6">
        <v>43877</v>
      </c>
      <c r="C64" s="10" t="s">
        <v>11</v>
      </c>
      <c r="D64" s="3" t="s">
        <v>9</v>
      </c>
      <c r="E64" s="4">
        <v>1.95</v>
      </c>
      <c r="F64" s="3">
        <v>20</v>
      </c>
      <c r="G64" s="3">
        <f t="shared" si="0"/>
        <v>39</v>
      </c>
      <c r="H64" s="3">
        <f t="shared" si="1"/>
        <v>1.9500000000000002</v>
      </c>
      <c r="I64" s="7">
        <v>1.63</v>
      </c>
      <c r="J64" s="5">
        <f t="shared" si="2"/>
        <v>35.419999999999995</v>
      </c>
    </row>
    <row r="65" spans="1:10" x14ac:dyDescent="0.35">
      <c r="A65" s="3" t="s">
        <v>74</v>
      </c>
      <c r="B65" s="6">
        <v>43876</v>
      </c>
      <c r="C65" s="10" t="s">
        <v>11</v>
      </c>
      <c r="D65" s="3" t="s">
        <v>9</v>
      </c>
      <c r="E65" s="4">
        <v>20.98</v>
      </c>
      <c r="F65" s="3">
        <v>42</v>
      </c>
      <c r="G65" s="3">
        <f t="shared" si="0"/>
        <v>881.16</v>
      </c>
      <c r="H65" s="3">
        <f t="shared" si="1"/>
        <v>44.058</v>
      </c>
      <c r="I65" s="7">
        <v>1.49</v>
      </c>
      <c r="J65" s="5">
        <f t="shared" si="2"/>
        <v>835.61199999999997</v>
      </c>
    </row>
    <row r="66" spans="1:10" x14ac:dyDescent="0.35">
      <c r="A66" s="3" t="s">
        <v>75</v>
      </c>
      <c r="B66" s="6">
        <v>43875</v>
      </c>
      <c r="C66" s="10" t="s">
        <v>8</v>
      </c>
      <c r="D66" s="3" t="s">
        <v>9</v>
      </c>
      <c r="E66" s="4">
        <v>16.98</v>
      </c>
      <c r="F66" s="3">
        <v>46</v>
      </c>
      <c r="G66" s="3">
        <f t="shared" si="0"/>
        <v>781.08</v>
      </c>
      <c r="H66" s="3">
        <f t="shared" si="1"/>
        <v>39.054000000000002</v>
      </c>
      <c r="I66" s="7">
        <v>12.39</v>
      </c>
      <c r="J66" s="5">
        <f t="shared" si="2"/>
        <v>729.63600000000008</v>
      </c>
    </row>
    <row r="67" spans="1:10" x14ac:dyDescent="0.35">
      <c r="A67" s="3" t="s">
        <v>76</v>
      </c>
      <c r="B67" s="6">
        <v>43874</v>
      </c>
      <c r="C67" s="10" t="s">
        <v>8</v>
      </c>
      <c r="D67" s="3" t="s">
        <v>9</v>
      </c>
      <c r="E67" s="4">
        <v>3.58</v>
      </c>
      <c r="F67" s="3">
        <v>32</v>
      </c>
      <c r="G67" s="3">
        <f t="shared" ref="G67:G130" si="3">E67*F67</f>
        <v>114.56</v>
      </c>
      <c r="H67" s="3">
        <f t="shared" ref="H67:H130" si="4">G67*5%</f>
        <v>5.7280000000000006</v>
      </c>
      <c r="I67" s="7">
        <v>1.63</v>
      </c>
      <c r="J67" s="5">
        <f t="shared" ref="J67:J130" si="5">G67-H67-I67</f>
        <v>107.20200000000001</v>
      </c>
    </row>
    <row r="68" spans="1:10" x14ac:dyDescent="0.35">
      <c r="A68" s="3" t="s">
        <v>77</v>
      </c>
      <c r="B68" s="6">
        <v>43873</v>
      </c>
      <c r="C68" s="10" t="s">
        <v>8</v>
      </c>
      <c r="D68" s="3" t="s">
        <v>9</v>
      </c>
      <c r="E68" s="4">
        <v>2.6</v>
      </c>
      <c r="F68" s="3">
        <v>11</v>
      </c>
      <c r="G68" s="3">
        <f t="shared" si="3"/>
        <v>28.6</v>
      </c>
      <c r="H68" s="3">
        <f t="shared" si="4"/>
        <v>1.4300000000000002</v>
      </c>
      <c r="I68" s="7">
        <v>2.4</v>
      </c>
      <c r="J68" s="5">
        <f t="shared" si="5"/>
        <v>24.770000000000003</v>
      </c>
    </row>
    <row r="69" spans="1:10" x14ac:dyDescent="0.35">
      <c r="A69" s="3" t="s">
        <v>78</v>
      </c>
      <c r="B69" s="6">
        <v>43872</v>
      </c>
      <c r="C69" s="10" t="s">
        <v>8</v>
      </c>
      <c r="D69" s="3" t="s">
        <v>9</v>
      </c>
      <c r="E69" s="4">
        <v>3.15</v>
      </c>
      <c r="F69" s="3">
        <v>41</v>
      </c>
      <c r="G69" s="3">
        <f t="shared" si="3"/>
        <v>129.15</v>
      </c>
      <c r="H69" s="3">
        <f t="shared" si="4"/>
        <v>6.4575000000000005</v>
      </c>
      <c r="I69" s="7">
        <v>0.49</v>
      </c>
      <c r="J69" s="5">
        <f t="shared" si="5"/>
        <v>122.20250000000001</v>
      </c>
    </row>
    <row r="70" spans="1:10" x14ac:dyDescent="0.35">
      <c r="A70" s="3" t="s">
        <v>79</v>
      </c>
      <c r="B70" s="6">
        <v>43871</v>
      </c>
      <c r="C70" s="10" t="s">
        <v>8</v>
      </c>
      <c r="D70" s="3" t="s">
        <v>9</v>
      </c>
      <c r="E70" s="4">
        <v>30.98</v>
      </c>
      <c r="F70" s="3">
        <v>15</v>
      </c>
      <c r="G70" s="3">
        <f t="shared" si="3"/>
        <v>464.7</v>
      </c>
      <c r="H70" s="3">
        <f t="shared" si="4"/>
        <v>23.234999999999999</v>
      </c>
      <c r="I70" s="7">
        <v>19.510000000000002</v>
      </c>
      <c r="J70" s="5">
        <f t="shared" si="5"/>
        <v>421.95499999999998</v>
      </c>
    </row>
    <row r="71" spans="1:10" x14ac:dyDescent="0.35">
      <c r="A71" s="3" t="s">
        <v>80</v>
      </c>
      <c r="B71" s="6">
        <v>43870</v>
      </c>
      <c r="C71" s="10" t="s">
        <v>8</v>
      </c>
      <c r="D71" s="3" t="s">
        <v>9</v>
      </c>
      <c r="E71" s="4">
        <v>35.409999999999997</v>
      </c>
      <c r="F71" s="3">
        <v>21</v>
      </c>
      <c r="G71" s="3">
        <f t="shared" si="3"/>
        <v>743.6099999999999</v>
      </c>
      <c r="H71" s="3">
        <f t="shared" si="4"/>
        <v>37.180499999999995</v>
      </c>
      <c r="I71" s="7">
        <v>1.99</v>
      </c>
      <c r="J71" s="5">
        <f t="shared" si="5"/>
        <v>704.43949999999995</v>
      </c>
    </row>
    <row r="72" spans="1:10" x14ac:dyDescent="0.35">
      <c r="A72" s="3" t="s">
        <v>81</v>
      </c>
      <c r="B72" s="6">
        <v>43869</v>
      </c>
      <c r="C72" s="10" t="s">
        <v>8</v>
      </c>
      <c r="D72" s="3" t="s">
        <v>9</v>
      </c>
      <c r="E72" s="4">
        <v>2.08</v>
      </c>
      <c r="F72" s="3">
        <v>39</v>
      </c>
      <c r="G72" s="3">
        <f t="shared" si="3"/>
        <v>81.12</v>
      </c>
      <c r="H72" s="3">
        <f t="shared" si="4"/>
        <v>4.056</v>
      </c>
      <c r="I72" s="7">
        <v>2.56</v>
      </c>
      <c r="J72" s="5">
        <f t="shared" si="5"/>
        <v>74.504000000000005</v>
      </c>
    </row>
    <row r="73" spans="1:10" x14ac:dyDescent="0.35">
      <c r="A73" s="3" t="s">
        <v>82</v>
      </c>
      <c r="B73" s="6">
        <v>43868</v>
      </c>
      <c r="C73" s="10" t="s">
        <v>8</v>
      </c>
      <c r="D73" s="3" t="s">
        <v>9</v>
      </c>
      <c r="E73" s="4">
        <v>29.74</v>
      </c>
      <c r="F73" s="3">
        <v>31</v>
      </c>
      <c r="G73" s="3">
        <f t="shared" si="3"/>
        <v>921.93999999999994</v>
      </c>
      <c r="H73" s="3">
        <f t="shared" si="4"/>
        <v>46.097000000000001</v>
      </c>
      <c r="I73" s="7">
        <v>6.64</v>
      </c>
      <c r="J73" s="5">
        <f t="shared" si="5"/>
        <v>869.20299999999997</v>
      </c>
    </row>
    <row r="74" spans="1:10" x14ac:dyDescent="0.35">
      <c r="A74" s="3" t="s">
        <v>83</v>
      </c>
      <c r="B74" s="6">
        <v>43867</v>
      </c>
      <c r="C74" s="10" t="s">
        <v>8</v>
      </c>
      <c r="D74" s="3" t="s">
        <v>9</v>
      </c>
      <c r="E74" s="4">
        <v>1.82</v>
      </c>
      <c r="F74" s="3">
        <v>40</v>
      </c>
      <c r="G74" s="3">
        <f t="shared" si="3"/>
        <v>72.8</v>
      </c>
      <c r="H74" s="3">
        <f t="shared" si="4"/>
        <v>3.64</v>
      </c>
      <c r="I74" s="7">
        <v>1</v>
      </c>
      <c r="J74" s="5">
        <f t="shared" si="5"/>
        <v>68.16</v>
      </c>
    </row>
    <row r="75" spans="1:10" x14ac:dyDescent="0.35">
      <c r="A75" s="3" t="s">
        <v>84</v>
      </c>
      <c r="B75" s="6">
        <v>43866</v>
      </c>
      <c r="C75" s="10" t="s">
        <v>11</v>
      </c>
      <c r="D75" s="3" t="s">
        <v>9</v>
      </c>
      <c r="E75" s="4">
        <v>2.1</v>
      </c>
      <c r="F75" s="3">
        <v>27</v>
      </c>
      <c r="G75" s="3">
        <f t="shared" si="3"/>
        <v>56.7</v>
      </c>
      <c r="H75" s="3">
        <f t="shared" si="4"/>
        <v>2.8350000000000004</v>
      </c>
      <c r="I75" s="7">
        <v>0.7</v>
      </c>
      <c r="J75" s="5">
        <f t="shared" si="5"/>
        <v>53.164999999999999</v>
      </c>
    </row>
    <row r="76" spans="1:10" x14ac:dyDescent="0.35">
      <c r="A76" s="3" t="s">
        <v>85</v>
      </c>
      <c r="B76" s="6">
        <v>43865</v>
      </c>
      <c r="C76" s="10" t="s">
        <v>8</v>
      </c>
      <c r="D76" s="3" t="s">
        <v>9</v>
      </c>
      <c r="E76" s="4">
        <v>5.74</v>
      </c>
      <c r="F76" s="3">
        <v>5</v>
      </c>
      <c r="G76" s="3">
        <f t="shared" si="3"/>
        <v>28.700000000000003</v>
      </c>
      <c r="H76" s="3">
        <f t="shared" si="4"/>
        <v>1.4350000000000003</v>
      </c>
      <c r="I76" s="7">
        <v>5.01</v>
      </c>
      <c r="J76" s="5">
        <f t="shared" si="5"/>
        <v>22.255000000000003</v>
      </c>
    </row>
    <row r="77" spans="1:10" x14ac:dyDescent="0.35">
      <c r="A77" s="3" t="s">
        <v>86</v>
      </c>
      <c r="B77" s="6">
        <v>43864</v>
      </c>
      <c r="C77" s="10" t="s">
        <v>588</v>
      </c>
      <c r="D77" s="3" t="s">
        <v>9</v>
      </c>
      <c r="E77" s="4">
        <v>6.3</v>
      </c>
      <c r="F77" s="3">
        <v>35</v>
      </c>
      <c r="G77" s="3">
        <f t="shared" si="3"/>
        <v>220.5</v>
      </c>
      <c r="H77" s="3">
        <f t="shared" si="4"/>
        <v>11.025</v>
      </c>
      <c r="I77" s="7">
        <v>0.5</v>
      </c>
      <c r="J77" s="5">
        <f t="shared" si="5"/>
        <v>208.97499999999999</v>
      </c>
    </row>
    <row r="78" spans="1:10" x14ac:dyDescent="0.35">
      <c r="A78" s="3" t="s">
        <v>87</v>
      </c>
      <c r="B78" s="6">
        <v>43863</v>
      </c>
      <c r="C78" s="10" t="s">
        <v>589</v>
      </c>
      <c r="D78" s="3" t="s">
        <v>9</v>
      </c>
      <c r="E78" s="4">
        <v>152.47999999999999</v>
      </c>
      <c r="F78" s="3">
        <v>44</v>
      </c>
      <c r="G78" s="3">
        <f t="shared" si="3"/>
        <v>6709.12</v>
      </c>
      <c r="H78" s="3">
        <f t="shared" si="4"/>
        <v>335.45600000000002</v>
      </c>
      <c r="I78" s="7">
        <v>6.5</v>
      </c>
      <c r="J78" s="5">
        <f t="shared" si="5"/>
        <v>6367.1639999999998</v>
      </c>
    </row>
    <row r="79" spans="1:10" x14ac:dyDescent="0.35">
      <c r="A79" s="3" t="s">
        <v>88</v>
      </c>
      <c r="B79" s="6">
        <v>43862</v>
      </c>
      <c r="C79" s="10" t="s">
        <v>588</v>
      </c>
      <c r="D79" s="3" t="s">
        <v>9</v>
      </c>
      <c r="E79" s="4">
        <v>5.68</v>
      </c>
      <c r="F79" s="3">
        <v>34</v>
      </c>
      <c r="G79" s="3">
        <f t="shared" si="3"/>
        <v>193.12</v>
      </c>
      <c r="H79" s="3">
        <f t="shared" si="4"/>
        <v>9.6560000000000006</v>
      </c>
      <c r="I79" s="7">
        <v>3.6</v>
      </c>
      <c r="J79" s="5">
        <f t="shared" si="5"/>
        <v>179.864</v>
      </c>
    </row>
    <row r="80" spans="1:10" x14ac:dyDescent="0.35">
      <c r="A80" s="3" t="s">
        <v>89</v>
      </c>
      <c r="B80" s="6">
        <v>43861</v>
      </c>
      <c r="C80" s="10" t="s">
        <v>589</v>
      </c>
      <c r="D80" s="3" t="s">
        <v>9</v>
      </c>
      <c r="E80" s="4">
        <v>40.97</v>
      </c>
      <c r="F80" s="3">
        <v>26</v>
      </c>
      <c r="G80" s="3">
        <f t="shared" si="3"/>
        <v>1065.22</v>
      </c>
      <c r="H80" s="3">
        <f t="shared" si="4"/>
        <v>53.261000000000003</v>
      </c>
      <c r="I80" s="7">
        <v>8.99</v>
      </c>
      <c r="J80" s="5">
        <f t="shared" si="5"/>
        <v>1002.9690000000001</v>
      </c>
    </row>
    <row r="81" spans="1:10" x14ac:dyDescent="0.35">
      <c r="A81" s="3" t="s">
        <v>90</v>
      </c>
      <c r="B81" s="6">
        <v>43860</v>
      </c>
      <c r="C81" s="10" t="s">
        <v>588</v>
      </c>
      <c r="D81" s="3" t="s">
        <v>9</v>
      </c>
      <c r="E81" s="4">
        <v>2.88</v>
      </c>
      <c r="F81" s="3">
        <v>41</v>
      </c>
      <c r="G81" s="3">
        <f t="shared" si="3"/>
        <v>118.08</v>
      </c>
      <c r="H81" s="3">
        <f t="shared" si="4"/>
        <v>5.9039999999999999</v>
      </c>
      <c r="I81" s="7">
        <v>1.01</v>
      </c>
      <c r="J81" s="5">
        <f t="shared" si="5"/>
        <v>111.166</v>
      </c>
    </row>
    <row r="82" spans="1:10" x14ac:dyDescent="0.35">
      <c r="A82" s="3" t="s">
        <v>91</v>
      </c>
      <c r="B82" s="6">
        <v>43859</v>
      </c>
      <c r="C82" s="10" t="s">
        <v>8</v>
      </c>
      <c r="D82" s="3" t="s">
        <v>9</v>
      </c>
      <c r="E82" s="4">
        <v>15.99</v>
      </c>
      <c r="F82" s="3">
        <v>33</v>
      </c>
      <c r="G82" s="3">
        <f t="shared" si="3"/>
        <v>527.66999999999996</v>
      </c>
      <c r="H82" s="3">
        <f t="shared" si="4"/>
        <v>26.383499999999998</v>
      </c>
      <c r="I82" s="7">
        <v>11.28</v>
      </c>
      <c r="J82" s="5">
        <f t="shared" si="5"/>
        <v>490.00649999999996</v>
      </c>
    </row>
    <row r="83" spans="1:10" x14ac:dyDescent="0.35">
      <c r="A83" s="3" t="s">
        <v>92</v>
      </c>
      <c r="B83" s="6">
        <v>43858</v>
      </c>
      <c r="C83" s="10" t="s">
        <v>11</v>
      </c>
      <c r="D83" s="3" t="s">
        <v>9</v>
      </c>
      <c r="E83" s="4">
        <v>5.98</v>
      </c>
      <c r="F83" s="3">
        <v>23</v>
      </c>
      <c r="G83" s="3">
        <f t="shared" si="3"/>
        <v>137.54000000000002</v>
      </c>
      <c r="H83" s="3">
        <f t="shared" si="4"/>
        <v>6.8770000000000016</v>
      </c>
      <c r="I83" s="7">
        <v>1.49</v>
      </c>
      <c r="J83" s="5">
        <f t="shared" si="5"/>
        <v>129.173</v>
      </c>
    </row>
    <row r="84" spans="1:10" x14ac:dyDescent="0.35">
      <c r="A84" s="3" t="s">
        <v>93</v>
      </c>
      <c r="B84" s="6">
        <v>43857</v>
      </c>
      <c r="C84" s="10" t="s">
        <v>8</v>
      </c>
      <c r="D84" s="3" t="s">
        <v>9</v>
      </c>
      <c r="E84" s="4">
        <v>5.74</v>
      </c>
      <c r="F84" s="3">
        <v>48</v>
      </c>
      <c r="G84" s="3">
        <f t="shared" si="3"/>
        <v>275.52</v>
      </c>
      <c r="H84" s="3">
        <f t="shared" si="4"/>
        <v>13.776</v>
      </c>
      <c r="I84" s="7">
        <v>5.01</v>
      </c>
      <c r="J84" s="5">
        <f t="shared" si="5"/>
        <v>256.73399999999998</v>
      </c>
    </row>
    <row r="85" spans="1:10" x14ac:dyDescent="0.35">
      <c r="A85" s="3" t="s">
        <v>94</v>
      </c>
      <c r="B85" s="6">
        <v>43856</v>
      </c>
      <c r="C85" s="10" t="s">
        <v>589</v>
      </c>
      <c r="D85" s="3" t="s">
        <v>9</v>
      </c>
      <c r="E85" s="4">
        <v>19.98</v>
      </c>
      <c r="F85" s="3">
        <v>9</v>
      </c>
      <c r="G85" s="3">
        <f t="shared" si="3"/>
        <v>179.82</v>
      </c>
      <c r="H85" s="3">
        <f t="shared" si="4"/>
        <v>8.9909999999999997</v>
      </c>
      <c r="I85" s="7">
        <v>4</v>
      </c>
      <c r="J85" s="5">
        <f t="shared" si="5"/>
        <v>166.82900000000001</v>
      </c>
    </row>
    <row r="86" spans="1:10" x14ac:dyDescent="0.35">
      <c r="A86" s="3" t="s">
        <v>95</v>
      </c>
      <c r="B86" s="6">
        <v>43855</v>
      </c>
      <c r="C86" s="10" t="s">
        <v>11</v>
      </c>
      <c r="D86" s="3" t="s">
        <v>27</v>
      </c>
      <c r="E86" s="4">
        <v>10.89</v>
      </c>
      <c r="F86" s="3">
        <v>30</v>
      </c>
      <c r="G86" s="3">
        <f t="shared" si="3"/>
        <v>326.70000000000005</v>
      </c>
      <c r="H86" s="3">
        <f t="shared" si="4"/>
        <v>16.335000000000004</v>
      </c>
      <c r="I86" s="7">
        <v>4.5</v>
      </c>
      <c r="J86" s="5">
        <f t="shared" si="5"/>
        <v>305.86500000000007</v>
      </c>
    </row>
    <row r="87" spans="1:10" x14ac:dyDescent="0.35">
      <c r="A87" s="3" t="s">
        <v>96</v>
      </c>
      <c r="B87" s="6">
        <v>43854</v>
      </c>
      <c r="C87" s="10" t="s">
        <v>11</v>
      </c>
      <c r="D87" s="3" t="s">
        <v>9</v>
      </c>
      <c r="E87" s="4">
        <v>3.15</v>
      </c>
      <c r="F87" s="3">
        <v>24</v>
      </c>
      <c r="G87" s="3">
        <f t="shared" si="3"/>
        <v>75.599999999999994</v>
      </c>
      <c r="H87" s="3">
        <f t="shared" si="4"/>
        <v>3.78</v>
      </c>
      <c r="I87" s="7">
        <v>0.49</v>
      </c>
      <c r="J87" s="5">
        <f t="shared" si="5"/>
        <v>71.33</v>
      </c>
    </row>
    <row r="88" spans="1:10" x14ac:dyDescent="0.35">
      <c r="A88" s="3" t="s">
        <v>97</v>
      </c>
      <c r="B88" s="6">
        <v>43853</v>
      </c>
      <c r="C88" s="10" t="s">
        <v>11</v>
      </c>
      <c r="D88" s="3" t="s">
        <v>9</v>
      </c>
      <c r="E88" s="4">
        <v>100.97</v>
      </c>
      <c r="F88" s="3">
        <v>29</v>
      </c>
      <c r="G88" s="3">
        <f t="shared" si="3"/>
        <v>2928.13</v>
      </c>
      <c r="H88" s="3">
        <f t="shared" si="4"/>
        <v>146.40650000000002</v>
      </c>
      <c r="I88" s="7">
        <v>7.18</v>
      </c>
      <c r="J88" s="5">
        <f t="shared" si="5"/>
        <v>2774.5435000000002</v>
      </c>
    </row>
    <row r="89" spans="1:10" x14ac:dyDescent="0.35">
      <c r="A89" s="3" t="s">
        <v>98</v>
      </c>
      <c r="B89" s="6">
        <v>43852</v>
      </c>
      <c r="C89" s="10" t="s">
        <v>11</v>
      </c>
      <c r="D89" s="3" t="s">
        <v>9</v>
      </c>
      <c r="E89" s="4">
        <v>3.98</v>
      </c>
      <c r="F89" s="3">
        <v>4</v>
      </c>
      <c r="G89" s="3">
        <f t="shared" si="3"/>
        <v>15.92</v>
      </c>
      <c r="H89" s="3">
        <f t="shared" si="4"/>
        <v>0.79600000000000004</v>
      </c>
      <c r="I89" s="7">
        <v>2.97</v>
      </c>
      <c r="J89" s="5">
        <f t="shared" si="5"/>
        <v>12.154</v>
      </c>
    </row>
    <row r="90" spans="1:10" x14ac:dyDescent="0.35">
      <c r="A90" s="3" t="s">
        <v>99</v>
      </c>
      <c r="B90" s="6">
        <v>43851</v>
      </c>
      <c r="C90" s="10" t="s">
        <v>589</v>
      </c>
      <c r="D90" s="3" t="s">
        <v>27</v>
      </c>
      <c r="E90" s="4">
        <v>2.61</v>
      </c>
      <c r="F90" s="3">
        <v>25</v>
      </c>
      <c r="G90" s="3">
        <f t="shared" si="3"/>
        <v>65.25</v>
      </c>
      <c r="H90" s="3">
        <f t="shared" si="4"/>
        <v>3.2625000000000002</v>
      </c>
      <c r="I90" s="7">
        <v>0.5</v>
      </c>
      <c r="J90" s="5">
        <f t="shared" si="5"/>
        <v>61.487499999999997</v>
      </c>
    </row>
    <row r="91" spans="1:10" x14ac:dyDescent="0.35">
      <c r="A91" s="3" t="s">
        <v>100</v>
      </c>
      <c r="B91" s="6">
        <v>43850</v>
      </c>
      <c r="C91" s="10" t="s">
        <v>8</v>
      </c>
      <c r="D91" s="3" t="s">
        <v>9</v>
      </c>
      <c r="E91" s="4">
        <v>2.1</v>
      </c>
      <c r="F91" s="3">
        <v>33</v>
      </c>
      <c r="G91" s="3">
        <f t="shared" si="3"/>
        <v>69.3</v>
      </c>
      <c r="H91" s="3">
        <f t="shared" si="4"/>
        <v>3.4649999999999999</v>
      </c>
      <c r="I91" s="7">
        <v>0.7</v>
      </c>
      <c r="J91" s="5">
        <f t="shared" si="5"/>
        <v>65.134999999999991</v>
      </c>
    </row>
    <row r="92" spans="1:10" x14ac:dyDescent="0.35">
      <c r="A92" s="3" t="s">
        <v>101</v>
      </c>
      <c r="B92" s="6">
        <v>43849</v>
      </c>
      <c r="C92" s="10" t="s">
        <v>8</v>
      </c>
      <c r="D92" s="3" t="s">
        <v>9</v>
      </c>
      <c r="E92" s="4">
        <v>20.99</v>
      </c>
      <c r="F92" s="3">
        <v>17</v>
      </c>
      <c r="G92" s="3">
        <f t="shared" si="3"/>
        <v>356.83</v>
      </c>
      <c r="H92" s="3">
        <f t="shared" si="4"/>
        <v>17.8415</v>
      </c>
      <c r="I92" s="7">
        <v>4.8099999999999996</v>
      </c>
      <c r="J92" s="5">
        <f t="shared" si="5"/>
        <v>334.17849999999999</v>
      </c>
    </row>
    <row r="93" spans="1:10" x14ac:dyDescent="0.35">
      <c r="A93" s="3" t="s">
        <v>102</v>
      </c>
      <c r="B93" s="6">
        <v>43848</v>
      </c>
      <c r="C93" s="10" t="s">
        <v>11</v>
      </c>
      <c r="D93" s="3" t="s">
        <v>9</v>
      </c>
      <c r="E93" s="4">
        <v>136.97999999999999</v>
      </c>
      <c r="F93" s="3">
        <v>3</v>
      </c>
      <c r="G93" s="3">
        <f t="shared" si="3"/>
        <v>410.93999999999994</v>
      </c>
      <c r="H93" s="3">
        <f t="shared" si="4"/>
        <v>20.546999999999997</v>
      </c>
      <c r="I93" s="7">
        <v>24.49</v>
      </c>
      <c r="J93" s="5">
        <f t="shared" si="5"/>
        <v>365.90299999999991</v>
      </c>
    </row>
    <row r="94" spans="1:10" x14ac:dyDescent="0.35">
      <c r="A94" s="3" t="s">
        <v>103</v>
      </c>
      <c r="B94" s="6">
        <v>43847</v>
      </c>
      <c r="C94" s="10" t="s">
        <v>589</v>
      </c>
      <c r="D94" s="3" t="s">
        <v>9</v>
      </c>
      <c r="E94" s="4">
        <v>2.88</v>
      </c>
      <c r="F94" s="3">
        <v>32</v>
      </c>
      <c r="G94" s="3">
        <f t="shared" si="3"/>
        <v>92.16</v>
      </c>
      <c r="H94" s="3">
        <f t="shared" si="4"/>
        <v>4.6079999999999997</v>
      </c>
      <c r="I94" s="7">
        <v>1.49</v>
      </c>
      <c r="J94" s="5">
        <f t="shared" si="5"/>
        <v>86.061999999999998</v>
      </c>
    </row>
    <row r="95" spans="1:10" x14ac:dyDescent="0.35">
      <c r="A95" s="3" t="s">
        <v>104</v>
      </c>
      <c r="B95" s="6">
        <v>43846</v>
      </c>
      <c r="C95" s="10" t="s">
        <v>8</v>
      </c>
      <c r="D95" s="3" t="s">
        <v>9</v>
      </c>
      <c r="E95" s="4">
        <v>2.61</v>
      </c>
      <c r="F95" s="3">
        <v>44</v>
      </c>
      <c r="G95" s="3">
        <f t="shared" si="3"/>
        <v>114.83999999999999</v>
      </c>
      <c r="H95" s="3">
        <f t="shared" si="4"/>
        <v>5.742</v>
      </c>
      <c r="I95" s="7">
        <v>0.5</v>
      </c>
      <c r="J95" s="5">
        <f t="shared" si="5"/>
        <v>108.59799999999998</v>
      </c>
    </row>
    <row r="96" spans="1:10" x14ac:dyDescent="0.35">
      <c r="A96" s="3" t="s">
        <v>105</v>
      </c>
      <c r="B96" s="6">
        <v>43845</v>
      </c>
      <c r="C96" s="10" t="s">
        <v>8</v>
      </c>
      <c r="D96" s="3" t="s">
        <v>9</v>
      </c>
      <c r="E96" s="4">
        <v>3.58</v>
      </c>
      <c r="F96" s="3">
        <v>34</v>
      </c>
      <c r="G96" s="3">
        <f t="shared" si="3"/>
        <v>121.72</v>
      </c>
      <c r="H96" s="3">
        <f t="shared" si="4"/>
        <v>6.0860000000000003</v>
      </c>
      <c r="I96" s="7">
        <v>5.47</v>
      </c>
      <c r="J96" s="5">
        <f t="shared" si="5"/>
        <v>110.164</v>
      </c>
    </row>
    <row r="97" spans="1:10" x14ac:dyDescent="0.35">
      <c r="A97" s="3" t="s">
        <v>106</v>
      </c>
      <c r="B97" s="6">
        <v>43844</v>
      </c>
      <c r="C97" s="10" t="s">
        <v>8</v>
      </c>
      <c r="D97" s="3" t="s">
        <v>9</v>
      </c>
      <c r="E97" s="4">
        <v>12.98</v>
      </c>
      <c r="F97" s="3">
        <v>49</v>
      </c>
      <c r="G97" s="3">
        <f t="shared" si="3"/>
        <v>636.02</v>
      </c>
      <c r="H97" s="3">
        <f t="shared" si="4"/>
        <v>31.801000000000002</v>
      </c>
      <c r="I97" s="7">
        <v>3.14</v>
      </c>
      <c r="J97" s="5">
        <f t="shared" si="5"/>
        <v>601.07899999999995</v>
      </c>
    </row>
    <row r="98" spans="1:10" x14ac:dyDescent="0.35">
      <c r="A98" s="3" t="s">
        <v>107</v>
      </c>
      <c r="B98" s="6">
        <v>43843</v>
      </c>
      <c r="C98" s="10" t="s">
        <v>8</v>
      </c>
      <c r="D98" s="3" t="s">
        <v>9</v>
      </c>
      <c r="E98" s="4">
        <v>136.97999999999999</v>
      </c>
      <c r="F98" s="3">
        <v>21</v>
      </c>
      <c r="G98" s="3">
        <f t="shared" si="3"/>
        <v>2876.58</v>
      </c>
      <c r="H98" s="3">
        <f t="shared" si="4"/>
        <v>143.82900000000001</v>
      </c>
      <c r="I98" s="7">
        <v>24.49</v>
      </c>
      <c r="J98" s="5">
        <f t="shared" si="5"/>
        <v>2708.261</v>
      </c>
    </row>
    <row r="99" spans="1:10" x14ac:dyDescent="0.35">
      <c r="A99" s="3" t="s">
        <v>108</v>
      </c>
      <c r="B99" s="6">
        <v>43842</v>
      </c>
      <c r="C99" s="10" t="s">
        <v>8</v>
      </c>
      <c r="D99" s="3" t="s">
        <v>9</v>
      </c>
      <c r="E99" s="4">
        <v>2.6</v>
      </c>
      <c r="F99" s="3">
        <v>12</v>
      </c>
      <c r="G99" s="3">
        <f t="shared" si="3"/>
        <v>31.200000000000003</v>
      </c>
      <c r="H99" s="3">
        <f t="shared" si="4"/>
        <v>1.5600000000000003</v>
      </c>
      <c r="I99" s="7">
        <v>2.4</v>
      </c>
      <c r="J99" s="5">
        <f t="shared" si="5"/>
        <v>27.240000000000006</v>
      </c>
    </row>
    <row r="100" spans="1:10" x14ac:dyDescent="0.35">
      <c r="A100" s="3" t="s">
        <v>109</v>
      </c>
      <c r="B100" s="6">
        <v>43841</v>
      </c>
      <c r="C100" s="10" t="s">
        <v>11</v>
      </c>
      <c r="D100" s="3" t="s">
        <v>9</v>
      </c>
      <c r="E100" s="4">
        <v>136.97999999999999</v>
      </c>
      <c r="F100" s="3">
        <v>27</v>
      </c>
      <c r="G100" s="3">
        <f t="shared" si="3"/>
        <v>3698.4599999999996</v>
      </c>
      <c r="H100" s="3">
        <f t="shared" si="4"/>
        <v>184.923</v>
      </c>
      <c r="I100" s="7">
        <v>24.49</v>
      </c>
      <c r="J100" s="5">
        <f t="shared" si="5"/>
        <v>3489.0469999999996</v>
      </c>
    </row>
    <row r="101" spans="1:10" x14ac:dyDescent="0.35">
      <c r="A101" s="3" t="s">
        <v>110</v>
      </c>
      <c r="B101" s="6">
        <v>43840</v>
      </c>
      <c r="C101" s="10" t="s">
        <v>589</v>
      </c>
      <c r="D101" s="3" t="s">
        <v>9</v>
      </c>
      <c r="E101" s="4">
        <v>19.98</v>
      </c>
      <c r="F101" s="3">
        <v>9</v>
      </c>
      <c r="G101" s="3">
        <f t="shared" si="3"/>
        <v>179.82</v>
      </c>
      <c r="H101" s="3">
        <f t="shared" si="4"/>
        <v>8.9909999999999997</v>
      </c>
      <c r="I101" s="7">
        <v>4</v>
      </c>
      <c r="J101" s="5">
        <f t="shared" si="5"/>
        <v>166.82900000000001</v>
      </c>
    </row>
    <row r="102" spans="1:10" x14ac:dyDescent="0.35">
      <c r="A102" s="3" t="s">
        <v>111</v>
      </c>
      <c r="B102" s="6">
        <v>43839</v>
      </c>
      <c r="C102" s="10" t="s">
        <v>8</v>
      </c>
      <c r="D102" s="3" t="s">
        <v>9</v>
      </c>
      <c r="E102" s="4">
        <v>27.18</v>
      </c>
      <c r="F102" s="3">
        <v>38</v>
      </c>
      <c r="G102" s="3">
        <f t="shared" si="3"/>
        <v>1032.8399999999999</v>
      </c>
      <c r="H102" s="3">
        <f t="shared" si="4"/>
        <v>51.641999999999996</v>
      </c>
      <c r="I102" s="7">
        <v>8.23</v>
      </c>
      <c r="J102" s="5">
        <f t="shared" si="5"/>
        <v>972.96799999999985</v>
      </c>
    </row>
    <row r="103" spans="1:10" x14ac:dyDescent="0.35">
      <c r="A103" s="3" t="s">
        <v>112</v>
      </c>
      <c r="B103" s="6">
        <v>43838</v>
      </c>
      <c r="C103" s="10" t="s">
        <v>11</v>
      </c>
      <c r="D103" s="3" t="s">
        <v>9</v>
      </c>
      <c r="E103" s="4">
        <v>90.48</v>
      </c>
      <c r="F103" s="3">
        <v>25</v>
      </c>
      <c r="G103" s="3">
        <f t="shared" si="3"/>
        <v>2262</v>
      </c>
      <c r="H103" s="3">
        <f t="shared" si="4"/>
        <v>113.10000000000001</v>
      </c>
      <c r="I103" s="7">
        <v>19.989999999999998</v>
      </c>
      <c r="J103" s="5">
        <f t="shared" si="5"/>
        <v>2128.9100000000003</v>
      </c>
    </row>
    <row r="104" spans="1:10" x14ac:dyDescent="0.35">
      <c r="A104" s="3" t="s">
        <v>113</v>
      </c>
      <c r="B104" s="6">
        <v>43837</v>
      </c>
      <c r="C104" s="10" t="s">
        <v>589</v>
      </c>
      <c r="D104" s="3" t="s">
        <v>9</v>
      </c>
      <c r="E104" s="4">
        <v>3.78</v>
      </c>
      <c r="F104" s="3">
        <v>22</v>
      </c>
      <c r="G104" s="3">
        <f t="shared" si="3"/>
        <v>83.16</v>
      </c>
      <c r="H104" s="3">
        <f t="shared" si="4"/>
        <v>4.1580000000000004</v>
      </c>
      <c r="I104" s="7">
        <v>0.71</v>
      </c>
      <c r="J104" s="5">
        <f t="shared" si="5"/>
        <v>78.292000000000002</v>
      </c>
    </row>
    <row r="105" spans="1:10" x14ac:dyDescent="0.35">
      <c r="A105" s="3" t="s">
        <v>114</v>
      </c>
      <c r="B105" s="6">
        <v>43836</v>
      </c>
      <c r="C105" s="10" t="s">
        <v>8</v>
      </c>
      <c r="D105" s="3" t="s">
        <v>9</v>
      </c>
      <c r="E105" s="4">
        <v>16.98</v>
      </c>
      <c r="F105" s="3">
        <v>43</v>
      </c>
      <c r="G105" s="3">
        <f t="shared" si="3"/>
        <v>730.14</v>
      </c>
      <c r="H105" s="3">
        <f t="shared" si="4"/>
        <v>36.506999999999998</v>
      </c>
      <c r="I105" s="7">
        <v>12.39</v>
      </c>
      <c r="J105" s="5">
        <f t="shared" si="5"/>
        <v>681.24300000000005</v>
      </c>
    </row>
    <row r="106" spans="1:10" x14ac:dyDescent="0.35">
      <c r="A106" s="3" t="s">
        <v>115</v>
      </c>
      <c r="B106" s="6">
        <v>43835</v>
      </c>
      <c r="C106" s="10" t="s">
        <v>588</v>
      </c>
      <c r="D106" s="3" t="s">
        <v>9</v>
      </c>
      <c r="E106" s="4">
        <v>5.68</v>
      </c>
      <c r="F106" s="3">
        <v>23</v>
      </c>
      <c r="G106" s="3">
        <f t="shared" si="3"/>
        <v>130.63999999999999</v>
      </c>
      <c r="H106" s="3">
        <f t="shared" si="4"/>
        <v>6.532</v>
      </c>
      <c r="I106" s="7">
        <v>1.39</v>
      </c>
      <c r="J106" s="5">
        <f t="shared" si="5"/>
        <v>122.71799999999999</v>
      </c>
    </row>
    <row r="107" spans="1:10" x14ac:dyDescent="0.35">
      <c r="A107" s="3" t="s">
        <v>116</v>
      </c>
      <c r="B107" s="6">
        <v>43834</v>
      </c>
      <c r="C107" s="10" t="s">
        <v>589</v>
      </c>
      <c r="D107" s="3" t="s">
        <v>9</v>
      </c>
      <c r="E107" s="4">
        <v>30.98</v>
      </c>
      <c r="F107" s="3">
        <v>37</v>
      </c>
      <c r="G107" s="3">
        <f t="shared" si="3"/>
        <v>1146.26</v>
      </c>
      <c r="H107" s="3">
        <f t="shared" si="4"/>
        <v>57.313000000000002</v>
      </c>
      <c r="I107" s="7">
        <v>19.510000000000002</v>
      </c>
      <c r="J107" s="5">
        <f t="shared" si="5"/>
        <v>1069.4369999999999</v>
      </c>
    </row>
    <row r="108" spans="1:10" x14ac:dyDescent="0.35">
      <c r="A108" s="3" t="s">
        <v>117</v>
      </c>
      <c r="B108" s="6">
        <v>43833</v>
      </c>
      <c r="C108" s="10" t="s">
        <v>8</v>
      </c>
      <c r="D108" s="3" t="s">
        <v>9</v>
      </c>
      <c r="E108" s="4">
        <v>2.88</v>
      </c>
      <c r="F108" s="3">
        <v>46</v>
      </c>
      <c r="G108" s="3">
        <f t="shared" si="3"/>
        <v>132.47999999999999</v>
      </c>
      <c r="H108" s="3">
        <f t="shared" si="4"/>
        <v>6.6239999999999997</v>
      </c>
      <c r="I108" s="7">
        <v>1.01</v>
      </c>
      <c r="J108" s="5">
        <f t="shared" si="5"/>
        <v>124.84599999999999</v>
      </c>
    </row>
    <row r="109" spans="1:10" x14ac:dyDescent="0.35">
      <c r="A109" s="3" t="s">
        <v>118</v>
      </c>
      <c r="B109" s="6">
        <v>43832</v>
      </c>
      <c r="C109" s="10" t="s">
        <v>588</v>
      </c>
      <c r="D109" s="3" t="s">
        <v>9</v>
      </c>
      <c r="E109" s="4">
        <v>7.28</v>
      </c>
      <c r="F109" s="3">
        <v>50</v>
      </c>
      <c r="G109" s="3">
        <f t="shared" si="3"/>
        <v>364</v>
      </c>
      <c r="H109" s="3">
        <f t="shared" si="4"/>
        <v>18.2</v>
      </c>
      <c r="I109" s="7">
        <v>11.15</v>
      </c>
      <c r="J109" s="5">
        <f t="shared" si="5"/>
        <v>334.65000000000003</v>
      </c>
    </row>
    <row r="110" spans="1:10" x14ac:dyDescent="0.35">
      <c r="A110" s="3" t="s">
        <v>119</v>
      </c>
      <c r="B110" s="6">
        <v>43831</v>
      </c>
      <c r="C110" s="10" t="s">
        <v>589</v>
      </c>
      <c r="D110" s="3" t="s">
        <v>9</v>
      </c>
      <c r="E110" s="4">
        <v>30.98</v>
      </c>
      <c r="F110" s="3">
        <v>30</v>
      </c>
      <c r="G110" s="3">
        <f t="shared" si="3"/>
        <v>929.4</v>
      </c>
      <c r="H110" s="3">
        <f t="shared" si="4"/>
        <v>46.47</v>
      </c>
      <c r="I110" s="7">
        <v>19.510000000000002</v>
      </c>
      <c r="J110" s="5">
        <f t="shared" si="5"/>
        <v>863.42</v>
      </c>
    </row>
    <row r="111" spans="1:10" x14ac:dyDescent="0.35">
      <c r="A111" s="3" t="s">
        <v>120</v>
      </c>
      <c r="B111" s="6">
        <v>43830</v>
      </c>
      <c r="C111" s="10" t="s">
        <v>8</v>
      </c>
      <c r="D111" s="3" t="s">
        <v>9</v>
      </c>
      <c r="E111" s="4">
        <v>22.38</v>
      </c>
      <c r="F111" s="3">
        <v>34</v>
      </c>
      <c r="G111" s="3">
        <f t="shared" si="3"/>
        <v>760.92</v>
      </c>
      <c r="H111" s="3">
        <f t="shared" si="4"/>
        <v>38.045999999999999</v>
      </c>
      <c r="I111" s="7">
        <v>15.1</v>
      </c>
      <c r="J111" s="5">
        <f t="shared" si="5"/>
        <v>707.77399999999989</v>
      </c>
    </row>
    <row r="112" spans="1:10" x14ac:dyDescent="0.35">
      <c r="A112" s="3" t="s">
        <v>121</v>
      </c>
      <c r="B112" s="6">
        <v>43829</v>
      </c>
      <c r="C112" s="10" t="s">
        <v>588</v>
      </c>
      <c r="D112" s="3" t="s">
        <v>27</v>
      </c>
      <c r="E112" s="4">
        <v>29.99</v>
      </c>
      <c r="F112" s="3">
        <v>36</v>
      </c>
      <c r="G112" s="3">
        <f t="shared" si="3"/>
        <v>1079.6399999999999</v>
      </c>
      <c r="H112" s="3">
        <f t="shared" si="4"/>
        <v>53.981999999999999</v>
      </c>
      <c r="I112" s="7">
        <v>5.5</v>
      </c>
      <c r="J112" s="5">
        <f t="shared" si="5"/>
        <v>1020.1579999999999</v>
      </c>
    </row>
    <row r="113" spans="1:10" x14ac:dyDescent="0.35">
      <c r="A113" s="3" t="s">
        <v>122</v>
      </c>
      <c r="B113" s="6">
        <v>43828</v>
      </c>
      <c r="C113" s="10" t="s">
        <v>589</v>
      </c>
      <c r="D113" s="3" t="s">
        <v>9</v>
      </c>
      <c r="E113" s="4">
        <v>35.44</v>
      </c>
      <c r="F113" s="3">
        <v>44</v>
      </c>
      <c r="G113" s="3">
        <f t="shared" si="3"/>
        <v>1559.36</v>
      </c>
      <c r="H113" s="3">
        <f t="shared" si="4"/>
        <v>77.968000000000004</v>
      </c>
      <c r="I113" s="7">
        <v>4.92</v>
      </c>
      <c r="J113" s="5">
        <f t="shared" si="5"/>
        <v>1476.4719999999998</v>
      </c>
    </row>
    <row r="114" spans="1:10" x14ac:dyDescent="0.35">
      <c r="A114" s="3" t="s">
        <v>123</v>
      </c>
      <c r="B114" s="6">
        <v>43827</v>
      </c>
      <c r="C114" s="10" t="s">
        <v>588</v>
      </c>
      <c r="D114" s="3" t="s">
        <v>9</v>
      </c>
      <c r="E114" s="4">
        <v>10.89</v>
      </c>
      <c r="F114" s="3">
        <v>19</v>
      </c>
      <c r="G114" s="3">
        <f t="shared" si="3"/>
        <v>206.91000000000003</v>
      </c>
      <c r="H114" s="3">
        <f t="shared" si="4"/>
        <v>10.345500000000001</v>
      </c>
      <c r="I114" s="7">
        <v>4.5</v>
      </c>
      <c r="J114" s="5">
        <f t="shared" si="5"/>
        <v>192.06450000000001</v>
      </c>
    </row>
    <row r="115" spans="1:10" x14ac:dyDescent="0.35">
      <c r="A115" s="3" t="s">
        <v>124</v>
      </c>
      <c r="B115" s="6">
        <v>43826</v>
      </c>
      <c r="C115" s="10" t="s">
        <v>588</v>
      </c>
      <c r="D115" s="3" t="s">
        <v>9</v>
      </c>
      <c r="E115" s="4">
        <v>5.4</v>
      </c>
      <c r="F115" s="3">
        <v>38</v>
      </c>
      <c r="G115" s="3">
        <f t="shared" si="3"/>
        <v>205.20000000000002</v>
      </c>
      <c r="H115" s="3">
        <f t="shared" si="4"/>
        <v>10.260000000000002</v>
      </c>
      <c r="I115" s="7">
        <v>7.78</v>
      </c>
      <c r="J115" s="5">
        <f t="shared" si="5"/>
        <v>187.16000000000003</v>
      </c>
    </row>
    <row r="116" spans="1:10" x14ac:dyDescent="0.35">
      <c r="A116" s="3" t="s">
        <v>125</v>
      </c>
      <c r="B116" s="6">
        <v>43825</v>
      </c>
      <c r="C116" s="10" t="s">
        <v>589</v>
      </c>
      <c r="D116" s="3" t="s">
        <v>9</v>
      </c>
      <c r="E116" s="4">
        <v>4</v>
      </c>
      <c r="F116" s="3">
        <v>22</v>
      </c>
      <c r="G116" s="3">
        <f t="shared" si="3"/>
        <v>88</v>
      </c>
      <c r="H116" s="3">
        <f t="shared" si="4"/>
        <v>4.4000000000000004</v>
      </c>
      <c r="I116" s="7">
        <v>1.3</v>
      </c>
      <c r="J116" s="5">
        <f t="shared" si="5"/>
        <v>82.3</v>
      </c>
    </row>
    <row r="117" spans="1:10" x14ac:dyDescent="0.35">
      <c r="A117" s="3" t="s">
        <v>126</v>
      </c>
      <c r="B117" s="6">
        <v>43824</v>
      </c>
      <c r="C117" s="10" t="s">
        <v>588</v>
      </c>
      <c r="D117" s="3" t="s">
        <v>9</v>
      </c>
      <c r="E117" s="4">
        <v>3.89</v>
      </c>
      <c r="F117" s="3">
        <v>50</v>
      </c>
      <c r="G117" s="3">
        <f t="shared" si="3"/>
        <v>194.5</v>
      </c>
      <c r="H117" s="3">
        <f t="shared" si="4"/>
        <v>9.7250000000000014</v>
      </c>
      <c r="I117" s="7">
        <v>7.01</v>
      </c>
      <c r="J117" s="5">
        <f t="shared" si="5"/>
        <v>177.76500000000001</v>
      </c>
    </row>
    <row r="118" spans="1:10" x14ac:dyDescent="0.35">
      <c r="A118" s="3" t="s">
        <v>127</v>
      </c>
      <c r="B118" s="6">
        <v>43823</v>
      </c>
      <c r="C118" s="10" t="s">
        <v>588</v>
      </c>
      <c r="D118" s="3" t="s">
        <v>9</v>
      </c>
      <c r="E118" s="4">
        <v>11.97</v>
      </c>
      <c r="F118" s="3">
        <v>38</v>
      </c>
      <c r="G118" s="3">
        <f t="shared" si="3"/>
        <v>454.86</v>
      </c>
      <c r="H118" s="3">
        <f t="shared" si="4"/>
        <v>22.743000000000002</v>
      </c>
      <c r="I118" s="7">
        <v>5.81</v>
      </c>
      <c r="J118" s="5">
        <f t="shared" si="5"/>
        <v>426.30700000000002</v>
      </c>
    </row>
    <row r="119" spans="1:10" x14ac:dyDescent="0.35">
      <c r="A119" s="3" t="s">
        <v>128</v>
      </c>
      <c r="B119" s="6">
        <v>43822</v>
      </c>
      <c r="C119" s="10" t="s">
        <v>589</v>
      </c>
      <c r="D119" s="3" t="s">
        <v>9</v>
      </c>
      <c r="E119" s="4">
        <v>5.43</v>
      </c>
      <c r="F119" s="3">
        <v>12</v>
      </c>
      <c r="G119" s="3">
        <f t="shared" si="3"/>
        <v>65.16</v>
      </c>
      <c r="H119" s="3">
        <f t="shared" si="4"/>
        <v>3.258</v>
      </c>
      <c r="I119" s="7">
        <v>0.95</v>
      </c>
      <c r="J119" s="5">
        <f t="shared" si="5"/>
        <v>60.951999999999991</v>
      </c>
    </row>
    <row r="120" spans="1:10" x14ac:dyDescent="0.35">
      <c r="A120" s="3" t="s">
        <v>129</v>
      </c>
      <c r="B120" s="6">
        <v>43821</v>
      </c>
      <c r="C120" s="10" t="s">
        <v>588</v>
      </c>
      <c r="D120" s="3" t="s">
        <v>9</v>
      </c>
      <c r="E120" s="4">
        <v>8.6</v>
      </c>
      <c r="F120" s="3">
        <v>2</v>
      </c>
      <c r="G120" s="3">
        <f t="shared" si="3"/>
        <v>17.2</v>
      </c>
      <c r="H120" s="3">
        <f t="shared" si="4"/>
        <v>0.86</v>
      </c>
      <c r="I120" s="7">
        <v>6.19</v>
      </c>
      <c r="J120" s="5">
        <f t="shared" si="5"/>
        <v>10.149999999999999</v>
      </c>
    </row>
    <row r="121" spans="1:10" x14ac:dyDescent="0.35">
      <c r="A121" s="3" t="s">
        <v>130</v>
      </c>
      <c r="B121" s="6">
        <v>43820</v>
      </c>
      <c r="C121" s="10" t="s">
        <v>588</v>
      </c>
      <c r="D121" s="3" t="s">
        <v>9</v>
      </c>
      <c r="E121" s="4">
        <v>165.2</v>
      </c>
      <c r="F121" s="3">
        <v>10</v>
      </c>
      <c r="G121" s="3">
        <f t="shared" si="3"/>
        <v>1652</v>
      </c>
      <c r="H121" s="3">
        <f t="shared" si="4"/>
        <v>82.600000000000009</v>
      </c>
      <c r="I121" s="7">
        <v>19.989999999999998</v>
      </c>
      <c r="J121" s="5">
        <f t="shared" si="5"/>
        <v>1549.41</v>
      </c>
    </row>
    <row r="122" spans="1:10" x14ac:dyDescent="0.35">
      <c r="A122" s="3" t="s">
        <v>131</v>
      </c>
      <c r="B122" s="6">
        <v>43819</v>
      </c>
      <c r="C122" s="10" t="s">
        <v>589</v>
      </c>
      <c r="D122" s="3" t="s">
        <v>9</v>
      </c>
      <c r="E122" s="4">
        <v>4.91</v>
      </c>
      <c r="F122" s="3">
        <v>13</v>
      </c>
      <c r="G122" s="3">
        <f t="shared" si="3"/>
        <v>63.83</v>
      </c>
      <c r="H122" s="3">
        <f t="shared" si="4"/>
        <v>3.1915</v>
      </c>
      <c r="I122" s="7">
        <v>0.5</v>
      </c>
      <c r="J122" s="5">
        <f t="shared" si="5"/>
        <v>60.138500000000001</v>
      </c>
    </row>
    <row r="123" spans="1:10" x14ac:dyDescent="0.35">
      <c r="A123" s="3" t="s">
        <v>132</v>
      </c>
      <c r="B123" s="6">
        <v>43818</v>
      </c>
      <c r="C123" s="10" t="s">
        <v>8</v>
      </c>
      <c r="D123" s="3" t="s">
        <v>9</v>
      </c>
      <c r="E123" s="4">
        <v>19.98</v>
      </c>
      <c r="F123" s="3">
        <v>44</v>
      </c>
      <c r="G123" s="3">
        <f t="shared" si="3"/>
        <v>879.12</v>
      </c>
      <c r="H123" s="3">
        <f t="shared" si="4"/>
        <v>43.956000000000003</v>
      </c>
      <c r="I123" s="7">
        <v>4</v>
      </c>
      <c r="J123" s="5">
        <f t="shared" si="5"/>
        <v>831.16399999999999</v>
      </c>
    </row>
    <row r="124" spans="1:10" x14ac:dyDescent="0.35">
      <c r="A124" s="3" t="s">
        <v>133</v>
      </c>
      <c r="B124" s="6">
        <v>43817</v>
      </c>
      <c r="C124" s="10" t="s">
        <v>589</v>
      </c>
      <c r="D124" s="3" t="s">
        <v>19</v>
      </c>
      <c r="E124" s="4">
        <v>535.64</v>
      </c>
      <c r="F124" s="3">
        <v>44</v>
      </c>
      <c r="G124" s="3">
        <f t="shared" si="3"/>
        <v>23568.16</v>
      </c>
      <c r="H124" s="3">
        <f t="shared" si="4"/>
        <v>1178.4080000000001</v>
      </c>
      <c r="I124" s="7">
        <v>14.7</v>
      </c>
      <c r="J124" s="5">
        <f t="shared" si="5"/>
        <v>22375.052</v>
      </c>
    </row>
    <row r="125" spans="1:10" x14ac:dyDescent="0.35">
      <c r="A125" s="3" t="s">
        <v>134</v>
      </c>
      <c r="B125" s="6">
        <v>43816</v>
      </c>
      <c r="C125" s="10" t="s">
        <v>11</v>
      </c>
      <c r="D125" s="3" t="s">
        <v>9</v>
      </c>
      <c r="E125" s="4">
        <v>2.94</v>
      </c>
      <c r="F125" s="3">
        <v>26</v>
      </c>
      <c r="G125" s="3">
        <f t="shared" si="3"/>
        <v>76.44</v>
      </c>
      <c r="H125" s="3">
        <f t="shared" si="4"/>
        <v>3.8220000000000001</v>
      </c>
      <c r="I125" s="7">
        <v>0.81</v>
      </c>
      <c r="J125" s="5">
        <f t="shared" si="5"/>
        <v>71.807999999999993</v>
      </c>
    </row>
    <row r="126" spans="1:10" x14ac:dyDescent="0.35">
      <c r="A126" s="3" t="s">
        <v>135</v>
      </c>
      <c r="B126" s="6">
        <v>43815</v>
      </c>
      <c r="C126" s="10" t="s">
        <v>8</v>
      </c>
      <c r="D126" s="3" t="s">
        <v>27</v>
      </c>
      <c r="E126" s="4">
        <v>9.3800000000000008</v>
      </c>
      <c r="F126" s="3">
        <v>46</v>
      </c>
      <c r="G126" s="3">
        <f t="shared" si="3"/>
        <v>431.48</v>
      </c>
      <c r="H126" s="3">
        <f t="shared" si="4"/>
        <v>21.574000000000002</v>
      </c>
      <c r="I126" s="7">
        <v>7.28</v>
      </c>
      <c r="J126" s="5">
        <f t="shared" si="5"/>
        <v>402.62600000000003</v>
      </c>
    </row>
    <row r="127" spans="1:10" x14ac:dyDescent="0.35">
      <c r="A127" s="3" t="s">
        <v>136</v>
      </c>
      <c r="B127" s="6">
        <v>43814</v>
      </c>
      <c r="C127" s="10" t="s">
        <v>588</v>
      </c>
      <c r="D127" s="3" t="s">
        <v>27</v>
      </c>
      <c r="E127" s="4">
        <v>155.99</v>
      </c>
      <c r="F127" s="3">
        <v>22</v>
      </c>
      <c r="G127" s="3">
        <f t="shared" si="3"/>
        <v>3431.78</v>
      </c>
      <c r="H127" s="3">
        <f t="shared" si="4"/>
        <v>171.58900000000003</v>
      </c>
      <c r="I127" s="7">
        <v>8.08</v>
      </c>
      <c r="J127" s="5">
        <f t="shared" si="5"/>
        <v>3252.1110000000003</v>
      </c>
    </row>
    <row r="128" spans="1:10" x14ac:dyDescent="0.35">
      <c r="A128" s="3" t="s">
        <v>137</v>
      </c>
      <c r="B128" s="6">
        <v>43813</v>
      </c>
      <c r="C128" s="10" t="s">
        <v>588</v>
      </c>
      <c r="D128" s="3" t="s">
        <v>9</v>
      </c>
      <c r="E128" s="4">
        <v>3.26</v>
      </c>
      <c r="F128" s="3">
        <v>38</v>
      </c>
      <c r="G128" s="3">
        <f t="shared" si="3"/>
        <v>123.88</v>
      </c>
      <c r="H128" s="3">
        <f t="shared" si="4"/>
        <v>6.194</v>
      </c>
      <c r="I128" s="7">
        <v>1.86</v>
      </c>
      <c r="J128" s="5">
        <f t="shared" si="5"/>
        <v>115.82599999999999</v>
      </c>
    </row>
    <row r="129" spans="1:10" x14ac:dyDescent="0.35">
      <c r="A129" s="3" t="s">
        <v>138</v>
      </c>
      <c r="B129" s="6">
        <v>43812</v>
      </c>
      <c r="C129" s="10" t="s">
        <v>588</v>
      </c>
      <c r="D129" s="3" t="s">
        <v>9</v>
      </c>
      <c r="E129" s="4">
        <v>3.78</v>
      </c>
      <c r="F129" s="3">
        <v>38</v>
      </c>
      <c r="G129" s="3">
        <f t="shared" si="3"/>
        <v>143.63999999999999</v>
      </c>
      <c r="H129" s="3">
        <f t="shared" si="4"/>
        <v>7.1819999999999995</v>
      </c>
      <c r="I129" s="7">
        <v>0.71</v>
      </c>
      <c r="J129" s="5">
        <f t="shared" si="5"/>
        <v>135.74799999999999</v>
      </c>
    </row>
    <row r="130" spans="1:10" x14ac:dyDescent="0.35">
      <c r="A130" s="3" t="s">
        <v>139</v>
      </c>
      <c r="B130" s="6">
        <v>43811</v>
      </c>
      <c r="C130" s="10" t="s">
        <v>588</v>
      </c>
      <c r="D130" s="3" t="s">
        <v>9</v>
      </c>
      <c r="E130" s="4">
        <v>15.98</v>
      </c>
      <c r="F130" s="3">
        <v>30</v>
      </c>
      <c r="G130" s="3">
        <f t="shared" si="3"/>
        <v>479.40000000000003</v>
      </c>
      <c r="H130" s="3">
        <f t="shared" si="4"/>
        <v>23.970000000000002</v>
      </c>
      <c r="I130" s="7">
        <v>4</v>
      </c>
      <c r="J130" s="5">
        <f t="shared" si="5"/>
        <v>451.43</v>
      </c>
    </row>
    <row r="131" spans="1:10" x14ac:dyDescent="0.35">
      <c r="A131" s="3" t="s">
        <v>140</v>
      </c>
      <c r="B131" s="6">
        <v>43810</v>
      </c>
      <c r="C131" s="10" t="s">
        <v>588</v>
      </c>
      <c r="D131" s="3" t="s">
        <v>9</v>
      </c>
      <c r="E131" s="4">
        <v>5.18</v>
      </c>
      <c r="F131" s="3">
        <v>32</v>
      </c>
      <c r="G131" s="3">
        <f t="shared" ref="G131:G194" si="6">E131*F131</f>
        <v>165.76</v>
      </c>
      <c r="H131" s="3">
        <f t="shared" ref="H131:H194" si="7">G131*5%</f>
        <v>8.2880000000000003</v>
      </c>
      <c r="I131" s="7">
        <v>2.04</v>
      </c>
      <c r="J131" s="5">
        <f t="shared" ref="J131:J194" si="8">G131-H131-I131</f>
        <v>155.43199999999999</v>
      </c>
    </row>
    <row r="132" spans="1:10" x14ac:dyDescent="0.35">
      <c r="A132" s="3" t="s">
        <v>141</v>
      </c>
      <c r="B132" s="6">
        <v>43809</v>
      </c>
      <c r="C132" s="10" t="s">
        <v>588</v>
      </c>
      <c r="D132" s="3" t="s">
        <v>9</v>
      </c>
      <c r="E132" s="4">
        <v>599.99</v>
      </c>
      <c r="F132" s="3">
        <v>16</v>
      </c>
      <c r="G132" s="3">
        <f t="shared" si="6"/>
        <v>9599.84</v>
      </c>
      <c r="H132" s="3">
        <f t="shared" si="7"/>
        <v>479.99200000000002</v>
      </c>
      <c r="I132" s="7">
        <v>24.49</v>
      </c>
      <c r="J132" s="5">
        <f t="shared" si="8"/>
        <v>9095.3580000000002</v>
      </c>
    </row>
    <row r="133" spans="1:10" x14ac:dyDescent="0.35">
      <c r="A133" s="3" t="s">
        <v>142</v>
      </c>
      <c r="B133" s="6">
        <v>43808</v>
      </c>
      <c r="C133" s="10" t="s">
        <v>588</v>
      </c>
      <c r="D133" s="3" t="s">
        <v>9</v>
      </c>
      <c r="E133" s="4">
        <v>19.84</v>
      </c>
      <c r="F133" s="3">
        <v>39</v>
      </c>
      <c r="G133" s="3">
        <f t="shared" si="6"/>
        <v>773.76</v>
      </c>
      <c r="H133" s="3">
        <f t="shared" si="7"/>
        <v>38.688000000000002</v>
      </c>
      <c r="I133" s="7">
        <v>4.0999999999999996</v>
      </c>
      <c r="J133" s="5">
        <f t="shared" si="8"/>
        <v>730.97199999999998</v>
      </c>
    </row>
    <row r="134" spans="1:10" x14ac:dyDescent="0.35">
      <c r="A134" s="3" t="s">
        <v>143</v>
      </c>
      <c r="B134" s="6">
        <v>43807</v>
      </c>
      <c r="C134" s="10" t="s">
        <v>588</v>
      </c>
      <c r="D134" s="3" t="s">
        <v>9</v>
      </c>
      <c r="E134" s="4">
        <v>45.99</v>
      </c>
      <c r="F134" s="3">
        <v>46</v>
      </c>
      <c r="G134" s="3">
        <f t="shared" si="6"/>
        <v>2115.54</v>
      </c>
      <c r="H134" s="3">
        <f t="shared" si="7"/>
        <v>105.777</v>
      </c>
      <c r="I134" s="7">
        <v>4.99</v>
      </c>
      <c r="J134" s="5">
        <f t="shared" si="8"/>
        <v>2004.7729999999999</v>
      </c>
    </row>
    <row r="135" spans="1:10" x14ac:dyDescent="0.35">
      <c r="A135" s="3" t="s">
        <v>144</v>
      </c>
      <c r="B135" s="6">
        <v>43806</v>
      </c>
      <c r="C135" s="10" t="s">
        <v>11</v>
      </c>
      <c r="D135" s="3" t="s">
        <v>9</v>
      </c>
      <c r="E135" s="4">
        <v>2.61</v>
      </c>
      <c r="F135" s="3">
        <v>34</v>
      </c>
      <c r="G135" s="3">
        <f t="shared" si="6"/>
        <v>88.74</v>
      </c>
      <c r="H135" s="3">
        <f t="shared" si="7"/>
        <v>4.4370000000000003</v>
      </c>
      <c r="I135" s="7">
        <v>0.5</v>
      </c>
      <c r="J135" s="5">
        <f t="shared" si="8"/>
        <v>83.802999999999997</v>
      </c>
    </row>
    <row r="136" spans="1:10" x14ac:dyDescent="0.35">
      <c r="A136" s="3" t="s">
        <v>145</v>
      </c>
      <c r="B136" s="6">
        <v>43805</v>
      </c>
      <c r="C136" s="10" t="s">
        <v>8</v>
      </c>
      <c r="D136" s="3" t="s">
        <v>9</v>
      </c>
      <c r="E136" s="4">
        <v>2.78</v>
      </c>
      <c r="F136" s="3">
        <v>23</v>
      </c>
      <c r="G136" s="3">
        <f t="shared" si="6"/>
        <v>63.94</v>
      </c>
      <c r="H136" s="3">
        <f t="shared" si="7"/>
        <v>3.1970000000000001</v>
      </c>
      <c r="I136" s="7">
        <v>1.34</v>
      </c>
      <c r="J136" s="5">
        <f t="shared" si="8"/>
        <v>59.402999999999992</v>
      </c>
    </row>
    <row r="137" spans="1:10" x14ac:dyDescent="0.35">
      <c r="A137" s="3" t="s">
        <v>146</v>
      </c>
      <c r="B137" s="6">
        <v>43804</v>
      </c>
      <c r="C137" s="10" t="s">
        <v>11</v>
      </c>
      <c r="D137" s="3" t="s">
        <v>9</v>
      </c>
      <c r="E137" s="4">
        <v>27.18</v>
      </c>
      <c r="F137" s="3">
        <v>50</v>
      </c>
      <c r="G137" s="3">
        <f t="shared" si="6"/>
        <v>1359</v>
      </c>
      <c r="H137" s="3">
        <f t="shared" si="7"/>
        <v>67.95</v>
      </c>
      <c r="I137" s="7">
        <v>8.23</v>
      </c>
      <c r="J137" s="5">
        <f t="shared" si="8"/>
        <v>1282.82</v>
      </c>
    </row>
    <row r="138" spans="1:10" x14ac:dyDescent="0.35">
      <c r="A138" s="3" t="s">
        <v>147</v>
      </c>
      <c r="B138" s="6">
        <v>43803</v>
      </c>
      <c r="C138" s="10" t="s">
        <v>8</v>
      </c>
      <c r="D138" s="3" t="s">
        <v>9</v>
      </c>
      <c r="E138" s="4">
        <v>19.84</v>
      </c>
      <c r="F138" s="3">
        <v>22</v>
      </c>
      <c r="G138" s="3">
        <f t="shared" si="6"/>
        <v>436.48</v>
      </c>
      <c r="H138" s="3">
        <f t="shared" si="7"/>
        <v>21.824000000000002</v>
      </c>
      <c r="I138" s="7">
        <v>4.0999999999999996</v>
      </c>
      <c r="J138" s="5">
        <f t="shared" si="8"/>
        <v>410.55599999999998</v>
      </c>
    </row>
    <row r="139" spans="1:10" x14ac:dyDescent="0.35">
      <c r="A139" s="3" t="s">
        <v>148</v>
      </c>
      <c r="B139" s="6">
        <v>43802</v>
      </c>
      <c r="C139" s="10" t="s">
        <v>11</v>
      </c>
      <c r="D139" s="3" t="s">
        <v>9</v>
      </c>
      <c r="E139" s="4">
        <v>3.78</v>
      </c>
      <c r="F139" s="3">
        <v>28</v>
      </c>
      <c r="G139" s="3">
        <f t="shared" si="6"/>
        <v>105.83999999999999</v>
      </c>
      <c r="H139" s="3">
        <f t="shared" si="7"/>
        <v>5.2919999999999998</v>
      </c>
      <c r="I139" s="7">
        <v>0.71</v>
      </c>
      <c r="J139" s="5">
        <f t="shared" si="8"/>
        <v>99.837999999999994</v>
      </c>
    </row>
    <row r="140" spans="1:10" x14ac:dyDescent="0.35">
      <c r="A140" s="3" t="s">
        <v>149</v>
      </c>
      <c r="B140" s="6">
        <v>43801</v>
      </c>
      <c r="C140" s="10" t="s">
        <v>8</v>
      </c>
      <c r="D140" s="3" t="s">
        <v>27</v>
      </c>
      <c r="E140" s="4">
        <v>7.3</v>
      </c>
      <c r="F140" s="3">
        <v>41</v>
      </c>
      <c r="G140" s="3">
        <f t="shared" si="6"/>
        <v>299.3</v>
      </c>
      <c r="H140" s="3">
        <f t="shared" si="7"/>
        <v>14.965000000000002</v>
      </c>
      <c r="I140" s="7">
        <v>7.72</v>
      </c>
      <c r="J140" s="5">
        <f t="shared" si="8"/>
        <v>276.61500000000001</v>
      </c>
    </row>
    <row r="141" spans="1:10" x14ac:dyDescent="0.35">
      <c r="A141" s="3" t="s">
        <v>150</v>
      </c>
      <c r="B141" s="6">
        <v>43800</v>
      </c>
      <c r="C141" s="10" t="s">
        <v>11</v>
      </c>
      <c r="D141" s="3" t="s">
        <v>9</v>
      </c>
      <c r="E141" s="4">
        <v>3.69</v>
      </c>
      <c r="F141" s="3">
        <v>16</v>
      </c>
      <c r="G141" s="3">
        <f t="shared" si="6"/>
        <v>59.04</v>
      </c>
      <c r="H141" s="3">
        <f t="shared" si="7"/>
        <v>2.952</v>
      </c>
      <c r="I141" s="7">
        <v>2.5</v>
      </c>
      <c r="J141" s="5">
        <f t="shared" si="8"/>
        <v>53.588000000000001</v>
      </c>
    </row>
    <row r="142" spans="1:10" x14ac:dyDescent="0.35">
      <c r="A142" s="3" t="s">
        <v>151</v>
      </c>
      <c r="B142" s="6">
        <v>43799</v>
      </c>
      <c r="C142" s="10" t="s">
        <v>11</v>
      </c>
      <c r="D142" s="3" t="s">
        <v>9</v>
      </c>
      <c r="E142" s="4">
        <v>4.76</v>
      </c>
      <c r="F142" s="3">
        <v>1</v>
      </c>
      <c r="G142" s="3">
        <f t="shared" si="6"/>
        <v>4.76</v>
      </c>
      <c r="H142" s="3">
        <f t="shared" si="7"/>
        <v>0.23799999999999999</v>
      </c>
      <c r="I142" s="7">
        <v>0.88</v>
      </c>
      <c r="J142" s="5">
        <f t="shared" si="8"/>
        <v>3.6420000000000003</v>
      </c>
    </row>
    <row r="143" spans="1:10" x14ac:dyDescent="0.35">
      <c r="A143" s="3" t="s">
        <v>152</v>
      </c>
      <c r="B143" s="6">
        <v>43798</v>
      </c>
      <c r="C143" s="10" t="s">
        <v>8</v>
      </c>
      <c r="D143" s="3" t="s">
        <v>27</v>
      </c>
      <c r="E143" s="4">
        <v>3.89</v>
      </c>
      <c r="F143" s="3">
        <v>30</v>
      </c>
      <c r="G143" s="3">
        <f t="shared" si="6"/>
        <v>116.7</v>
      </c>
      <c r="H143" s="3">
        <f t="shared" si="7"/>
        <v>5.8350000000000009</v>
      </c>
      <c r="I143" s="7">
        <v>7.01</v>
      </c>
      <c r="J143" s="5">
        <f t="shared" si="8"/>
        <v>103.855</v>
      </c>
    </row>
    <row r="144" spans="1:10" x14ac:dyDescent="0.35">
      <c r="A144" s="3" t="s">
        <v>153</v>
      </c>
      <c r="B144" s="6">
        <v>43797</v>
      </c>
      <c r="C144" s="10" t="s">
        <v>8</v>
      </c>
      <c r="D144" s="3" t="s">
        <v>9</v>
      </c>
      <c r="E144" s="4">
        <v>3.69</v>
      </c>
      <c r="F144" s="3">
        <v>13</v>
      </c>
      <c r="G144" s="3">
        <f t="shared" si="6"/>
        <v>47.97</v>
      </c>
      <c r="H144" s="3">
        <f t="shared" si="7"/>
        <v>2.3985000000000003</v>
      </c>
      <c r="I144" s="7">
        <v>0.5</v>
      </c>
      <c r="J144" s="5">
        <f t="shared" si="8"/>
        <v>45.0715</v>
      </c>
    </row>
    <row r="145" spans="1:10" x14ac:dyDescent="0.35">
      <c r="A145" s="3" t="s">
        <v>154</v>
      </c>
      <c r="B145" s="6">
        <v>43796</v>
      </c>
      <c r="C145" s="10" t="s">
        <v>8</v>
      </c>
      <c r="D145" s="3" t="s">
        <v>9</v>
      </c>
      <c r="E145" s="4">
        <v>1.26</v>
      </c>
      <c r="F145" s="3">
        <v>34</v>
      </c>
      <c r="G145" s="3">
        <f t="shared" si="6"/>
        <v>42.84</v>
      </c>
      <c r="H145" s="3">
        <f t="shared" si="7"/>
        <v>2.1420000000000003</v>
      </c>
      <c r="I145" s="7">
        <v>0.7</v>
      </c>
      <c r="J145" s="5">
        <f t="shared" si="8"/>
        <v>39.997999999999998</v>
      </c>
    </row>
    <row r="146" spans="1:10" x14ac:dyDescent="0.35">
      <c r="A146" s="3" t="s">
        <v>155</v>
      </c>
      <c r="B146" s="6">
        <v>43795</v>
      </c>
      <c r="C146" s="10" t="s">
        <v>8</v>
      </c>
      <c r="D146" s="3" t="s">
        <v>9</v>
      </c>
      <c r="E146" s="4">
        <v>3.89</v>
      </c>
      <c r="F146" s="3">
        <v>18</v>
      </c>
      <c r="G146" s="3">
        <f t="shared" si="6"/>
        <v>70.02</v>
      </c>
      <c r="H146" s="3">
        <f t="shared" si="7"/>
        <v>3.5009999999999999</v>
      </c>
      <c r="I146" s="7">
        <v>7.01</v>
      </c>
      <c r="J146" s="5">
        <f t="shared" si="8"/>
        <v>59.508999999999993</v>
      </c>
    </row>
    <row r="147" spans="1:10" x14ac:dyDescent="0.35">
      <c r="A147" s="3" t="s">
        <v>156</v>
      </c>
      <c r="B147" s="6">
        <v>43794</v>
      </c>
      <c r="C147" s="10" t="s">
        <v>8</v>
      </c>
      <c r="D147" s="3" t="s">
        <v>9</v>
      </c>
      <c r="E147" s="4">
        <v>83.93</v>
      </c>
      <c r="F147" s="3">
        <v>37</v>
      </c>
      <c r="G147" s="3">
        <f t="shared" si="6"/>
        <v>3105.4100000000003</v>
      </c>
      <c r="H147" s="3">
        <f t="shared" si="7"/>
        <v>155.27050000000003</v>
      </c>
      <c r="I147" s="7">
        <v>19.989999999999998</v>
      </c>
      <c r="J147" s="5">
        <f t="shared" si="8"/>
        <v>2930.1495000000004</v>
      </c>
    </row>
    <row r="148" spans="1:10" x14ac:dyDescent="0.35">
      <c r="A148" s="3" t="s">
        <v>157</v>
      </c>
      <c r="B148" s="6">
        <v>43793</v>
      </c>
      <c r="C148" s="10" t="s">
        <v>8</v>
      </c>
      <c r="D148" s="3" t="s">
        <v>9</v>
      </c>
      <c r="E148" s="4">
        <v>2.78</v>
      </c>
      <c r="F148" s="3">
        <v>6</v>
      </c>
      <c r="G148" s="3">
        <f t="shared" si="6"/>
        <v>16.68</v>
      </c>
      <c r="H148" s="3">
        <f t="shared" si="7"/>
        <v>0.83400000000000007</v>
      </c>
      <c r="I148" s="7">
        <v>1.2</v>
      </c>
      <c r="J148" s="5">
        <f t="shared" si="8"/>
        <v>14.646000000000001</v>
      </c>
    </row>
    <row r="149" spans="1:10" x14ac:dyDescent="0.35">
      <c r="A149" s="3" t="s">
        <v>158</v>
      </c>
      <c r="B149" s="6">
        <v>43792</v>
      </c>
      <c r="C149" s="10" t="s">
        <v>8</v>
      </c>
      <c r="D149" s="3" t="s">
        <v>9</v>
      </c>
      <c r="E149" s="4">
        <v>100.97</v>
      </c>
      <c r="F149" s="3">
        <v>41</v>
      </c>
      <c r="G149" s="3">
        <f t="shared" si="6"/>
        <v>4139.7699999999995</v>
      </c>
      <c r="H149" s="3">
        <f t="shared" si="7"/>
        <v>206.98849999999999</v>
      </c>
      <c r="I149" s="7">
        <v>7.18</v>
      </c>
      <c r="J149" s="5">
        <f t="shared" si="8"/>
        <v>3925.6014999999998</v>
      </c>
    </row>
    <row r="150" spans="1:10" x14ac:dyDescent="0.35">
      <c r="A150" s="3" t="s">
        <v>159</v>
      </c>
      <c r="B150" s="6">
        <v>43791</v>
      </c>
      <c r="C150" s="10" t="s">
        <v>8</v>
      </c>
      <c r="D150" s="3" t="s">
        <v>9</v>
      </c>
      <c r="E150" s="4">
        <v>11.97</v>
      </c>
      <c r="F150" s="3">
        <v>49</v>
      </c>
      <c r="G150" s="3">
        <f t="shared" si="6"/>
        <v>586.53000000000009</v>
      </c>
      <c r="H150" s="3">
        <f t="shared" si="7"/>
        <v>29.326500000000006</v>
      </c>
      <c r="I150" s="7">
        <v>5.81</v>
      </c>
      <c r="J150" s="5">
        <f t="shared" si="8"/>
        <v>551.39350000000013</v>
      </c>
    </row>
    <row r="151" spans="1:10" x14ac:dyDescent="0.35">
      <c r="A151" s="3" t="s">
        <v>160</v>
      </c>
      <c r="B151" s="6">
        <v>43790</v>
      </c>
      <c r="C151" s="10" t="s">
        <v>11</v>
      </c>
      <c r="D151" s="3" t="s">
        <v>9</v>
      </c>
      <c r="E151" s="4">
        <v>415.88</v>
      </c>
      <c r="F151" s="3">
        <v>4</v>
      </c>
      <c r="G151" s="3">
        <f t="shared" si="6"/>
        <v>1663.52</v>
      </c>
      <c r="H151" s="3">
        <f t="shared" si="7"/>
        <v>83.176000000000002</v>
      </c>
      <c r="I151" s="7">
        <v>11.37</v>
      </c>
      <c r="J151" s="5">
        <f t="shared" si="8"/>
        <v>1568.9740000000002</v>
      </c>
    </row>
    <row r="152" spans="1:10" x14ac:dyDescent="0.35">
      <c r="A152" s="3" t="s">
        <v>161</v>
      </c>
      <c r="B152" s="6">
        <v>43789</v>
      </c>
      <c r="C152" s="10" t="s">
        <v>8</v>
      </c>
      <c r="D152" s="3" t="s">
        <v>9</v>
      </c>
      <c r="E152" s="4">
        <v>22.38</v>
      </c>
      <c r="F152" s="3">
        <v>18</v>
      </c>
      <c r="G152" s="3">
        <f t="shared" si="6"/>
        <v>402.84</v>
      </c>
      <c r="H152" s="3">
        <f t="shared" si="7"/>
        <v>20.141999999999999</v>
      </c>
      <c r="I152" s="7">
        <v>15.1</v>
      </c>
      <c r="J152" s="5">
        <f t="shared" si="8"/>
        <v>367.59799999999996</v>
      </c>
    </row>
    <row r="153" spans="1:10" x14ac:dyDescent="0.35">
      <c r="A153" s="3" t="s">
        <v>162</v>
      </c>
      <c r="B153" s="6">
        <v>43788</v>
      </c>
      <c r="C153" s="10" t="s">
        <v>587</v>
      </c>
      <c r="D153" s="3" t="s">
        <v>9</v>
      </c>
      <c r="E153" s="4">
        <v>449.99</v>
      </c>
      <c r="F153" s="3">
        <v>3</v>
      </c>
      <c r="G153" s="3">
        <f t="shared" si="6"/>
        <v>1349.97</v>
      </c>
      <c r="H153" s="3">
        <f t="shared" si="7"/>
        <v>67.498500000000007</v>
      </c>
      <c r="I153" s="7">
        <v>24.49</v>
      </c>
      <c r="J153" s="5">
        <f t="shared" si="8"/>
        <v>1257.9815000000001</v>
      </c>
    </row>
    <row r="154" spans="1:10" x14ac:dyDescent="0.35">
      <c r="A154" s="3" t="s">
        <v>163</v>
      </c>
      <c r="B154" s="6">
        <v>43787</v>
      </c>
      <c r="C154" s="10" t="s">
        <v>8</v>
      </c>
      <c r="D154" s="3" t="s">
        <v>9</v>
      </c>
      <c r="E154" s="4">
        <v>1.6</v>
      </c>
      <c r="F154" s="3">
        <v>39</v>
      </c>
      <c r="G154" s="3">
        <f t="shared" si="6"/>
        <v>62.400000000000006</v>
      </c>
      <c r="H154" s="3">
        <f t="shared" si="7"/>
        <v>3.1200000000000006</v>
      </c>
      <c r="I154" s="7">
        <v>1.29</v>
      </c>
      <c r="J154" s="5">
        <f t="shared" si="8"/>
        <v>57.990000000000009</v>
      </c>
    </row>
    <row r="155" spans="1:10" x14ac:dyDescent="0.35">
      <c r="A155" s="3" t="s">
        <v>164</v>
      </c>
      <c r="B155" s="6">
        <v>43786</v>
      </c>
      <c r="C155" s="10" t="s">
        <v>11</v>
      </c>
      <c r="D155" s="3" t="s">
        <v>9</v>
      </c>
      <c r="E155" s="4">
        <v>152.47999999999999</v>
      </c>
      <c r="F155" s="3">
        <v>2</v>
      </c>
      <c r="G155" s="3">
        <f t="shared" si="6"/>
        <v>304.95999999999998</v>
      </c>
      <c r="H155" s="3">
        <f t="shared" si="7"/>
        <v>15.247999999999999</v>
      </c>
      <c r="I155" s="7">
        <v>4</v>
      </c>
      <c r="J155" s="5">
        <f t="shared" si="8"/>
        <v>285.71199999999999</v>
      </c>
    </row>
    <row r="156" spans="1:10" x14ac:dyDescent="0.35">
      <c r="A156" s="3" t="s">
        <v>165</v>
      </c>
      <c r="B156" s="6">
        <v>43785</v>
      </c>
      <c r="C156" s="10" t="s">
        <v>11</v>
      </c>
      <c r="D156" s="3" t="s">
        <v>9</v>
      </c>
      <c r="E156" s="4">
        <v>5.98</v>
      </c>
      <c r="F156" s="3">
        <v>22</v>
      </c>
      <c r="G156" s="3">
        <f t="shared" si="6"/>
        <v>131.56</v>
      </c>
      <c r="H156" s="3">
        <f t="shared" si="7"/>
        <v>6.5780000000000003</v>
      </c>
      <c r="I156" s="7">
        <v>1.49</v>
      </c>
      <c r="J156" s="5">
        <f t="shared" si="8"/>
        <v>123.492</v>
      </c>
    </row>
    <row r="157" spans="1:10" x14ac:dyDescent="0.35">
      <c r="A157" s="3" t="s">
        <v>166</v>
      </c>
      <c r="B157" s="6">
        <v>43784</v>
      </c>
      <c r="C157" s="10" t="s">
        <v>587</v>
      </c>
      <c r="D157" s="3" t="s">
        <v>9</v>
      </c>
      <c r="E157" s="4">
        <v>5.43</v>
      </c>
      <c r="F157" s="3">
        <v>2</v>
      </c>
      <c r="G157" s="3">
        <f t="shared" si="6"/>
        <v>10.86</v>
      </c>
      <c r="H157" s="3">
        <f t="shared" si="7"/>
        <v>0.54300000000000004</v>
      </c>
      <c r="I157" s="7">
        <v>0.95</v>
      </c>
      <c r="J157" s="5">
        <f t="shared" si="8"/>
        <v>9.3670000000000009</v>
      </c>
    </row>
    <row r="158" spans="1:10" x14ac:dyDescent="0.35">
      <c r="A158" s="3" t="s">
        <v>167</v>
      </c>
      <c r="B158" s="6">
        <v>43783</v>
      </c>
      <c r="C158" s="10" t="s">
        <v>11</v>
      </c>
      <c r="D158" s="3" t="s">
        <v>9</v>
      </c>
      <c r="E158" s="4">
        <v>1.68</v>
      </c>
      <c r="F158" s="3">
        <v>50</v>
      </c>
      <c r="G158" s="3">
        <f t="shared" si="6"/>
        <v>84</v>
      </c>
      <c r="H158" s="3">
        <f t="shared" si="7"/>
        <v>4.2</v>
      </c>
      <c r="I158" s="7">
        <v>1</v>
      </c>
      <c r="J158" s="5">
        <f t="shared" si="8"/>
        <v>78.8</v>
      </c>
    </row>
    <row r="159" spans="1:10" x14ac:dyDescent="0.35">
      <c r="A159" s="3" t="s">
        <v>168</v>
      </c>
      <c r="B159" s="6">
        <v>43782</v>
      </c>
      <c r="C159" s="10" t="s">
        <v>8</v>
      </c>
      <c r="D159" s="3" t="s">
        <v>27</v>
      </c>
      <c r="E159" s="4">
        <v>3.58</v>
      </c>
      <c r="F159" s="3">
        <v>36</v>
      </c>
      <c r="G159" s="3">
        <f t="shared" si="6"/>
        <v>128.88</v>
      </c>
      <c r="H159" s="3">
        <f t="shared" si="7"/>
        <v>6.444</v>
      </c>
      <c r="I159" s="7">
        <v>5.47</v>
      </c>
      <c r="J159" s="5">
        <f t="shared" si="8"/>
        <v>116.96599999999999</v>
      </c>
    </row>
    <row r="160" spans="1:10" x14ac:dyDescent="0.35">
      <c r="A160" s="3" t="s">
        <v>169</v>
      </c>
      <c r="B160" s="6">
        <v>43781</v>
      </c>
      <c r="C160" s="10" t="s">
        <v>587</v>
      </c>
      <c r="D160" s="3" t="s">
        <v>9</v>
      </c>
      <c r="E160" s="4">
        <v>1.81</v>
      </c>
      <c r="F160" s="3">
        <v>50</v>
      </c>
      <c r="G160" s="3">
        <f t="shared" si="6"/>
        <v>90.5</v>
      </c>
      <c r="H160" s="3">
        <f t="shared" si="7"/>
        <v>4.5250000000000004</v>
      </c>
      <c r="I160" s="7">
        <v>0.75</v>
      </c>
      <c r="J160" s="5">
        <f t="shared" si="8"/>
        <v>85.224999999999994</v>
      </c>
    </row>
    <row r="161" spans="1:10" x14ac:dyDescent="0.35">
      <c r="A161" s="3" t="s">
        <v>170</v>
      </c>
      <c r="B161" s="6">
        <v>43780</v>
      </c>
      <c r="C161" s="10" t="s">
        <v>8</v>
      </c>
      <c r="D161" s="3" t="s">
        <v>9</v>
      </c>
      <c r="E161" s="4">
        <v>2.88</v>
      </c>
      <c r="F161" s="3">
        <v>18</v>
      </c>
      <c r="G161" s="3">
        <f t="shared" si="6"/>
        <v>51.839999999999996</v>
      </c>
      <c r="H161" s="3">
        <f t="shared" si="7"/>
        <v>2.5920000000000001</v>
      </c>
      <c r="I161" s="7">
        <v>0.99</v>
      </c>
      <c r="J161" s="5">
        <f t="shared" si="8"/>
        <v>48.257999999999996</v>
      </c>
    </row>
    <row r="162" spans="1:10" x14ac:dyDescent="0.35">
      <c r="A162" s="3" t="s">
        <v>171</v>
      </c>
      <c r="B162" s="6">
        <v>43779</v>
      </c>
      <c r="C162" s="10" t="s">
        <v>8</v>
      </c>
      <c r="D162" s="3" t="s">
        <v>9</v>
      </c>
      <c r="E162" s="4">
        <v>2.62</v>
      </c>
      <c r="F162" s="3">
        <v>16</v>
      </c>
      <c r="G162" s="3">
        <f t="shared" si="6"/>
        <v>41.92</v>
      </c>
      <c r="H162" s="3">
        <f t="shared" si="7"/>
        <v>2.0960000000000001</v>
      </c>
      <c r="I162" s="7">
        <v>0.8</v>
      </c>
      <c r="J162" s="5">
        <f t="shared" si="8"/>
        <v>39.024000000000001</v>
      </c>
    </row>
    <row r="163" spans="1:10" x14ac:dyDescent="0.35">
      <c r="A163" s="3" t="s">
        <v>172</v>
      </c>
      <c r="B163" s="6">
        <v>43778</v>
      </c>
      <c r="C163" s="10" t="s">
        <v>8</v>
      </c>
      <c r="D163" s="3" t="s">
        <v>9</v>
      </c>
      <c r="E163" s="4">
        <v>22.38</v>
      </c>
      <c r="F163" s="3">
        <v>9</v>
      </c>
      <c r="G163" s="3">
        <f t="shared" si="6"/>
        <v>201.42</v>
      </c>
      <c r="H163" s="3">
        <f t="shared" si="7"/>
        <v>10.071</v>
      </c>
      <c r="I163" s="7">
        <v>15.1</v>
      </c>
      <c r="J163" s="5">
        <f t="shared" si="8"/>
        <v>176.249</v>
      </c>
    </row>
    <row r="164" spans="1:10" x14ac:dyDescent="0.35">
      <c r="A164" s="3" t="s">
        <v>173</v>
      </c>
      <c r="B164" s="6">
        <v>43777</v>
      </c>
      <c r="C164" s="10" t="s">
        <v>8</v>
      </c>
      <c r="D164" s="3" t="s">
        <v>9</v>
      </c>
      <c r="E164" s="4">
        <v>1.26</v>
      </c>
      <c r="F164" s="3">
        <v>47</v>
      </c>
      <c r="G164" s="3">
        <f t="shared" si="6"/>
        <v>59.22</v>
      </c>
      <c r="H164" s="3">
        <f t="shared" si="7"/>
        <v>2.9610000000000003</v>
      </c>
      <c r="I164" s="7">
        <v>0.7</v>
      </c>
      <c r="J164" s="5">
        <f t="shared" si="8"/>
        <v>55.558999999999997</v>
      </c>
    </row>
    <row r="165" spans="1:10" x14ac:dyDescent="0.35">
      <c r="A165" s="3" t="s">
        <v>174</v>
      </c>
      <c r="B165" s="6">
        <v>43776</v>
      </c>
      <c r="C165" s="10" t="s">
        <v>589</v>
      </c>
      <c r="D165" s="3" t="s">
        <v>9</v>
      </c>
      <c r="E165" s="4">
        <v>4.91</v>
      </c>
      <c r="F165" s="3">
        <v>28</v>
      </c>
      <c r="G165" s="3">
        <f t="shared" si="6"/>
        <v>137.48000000000002</v>
      </c>
      <c r="H165" s="3">
        <f t="shared" si="7"/>
        <v>6.8740000000000014</v>
      </c>
      <c r="I165" s="7">
        <v>0.5</v>
      </c>
      <c r="J165" s="5">
        <f t="shared" si="8"/>
        <v>130.10600000000002</v>
      </c>
    </row>
    <row r="166" spans="1:10" x14ac:dyDescent="0.35">
      <c r="A166" s="3" t="s">
        <v>175</v>
      </c>
      <c r="B166" s="6">
        <v>43775</v>
      </c>
      <c r="C166" s="10" t="s">
        <v>589</v>
      </c>
      <c r="D166" s="3" t="s">
        <v>9</v>
      </c>
      <c r="E166" s="4">
        <v>4.76</v>
      </c>
      <c r="F166" s="3">
        <v>5</v>
      </c>
      <c r="G166" s="3">
        <f t="shared" si="6"/>
        <v>23.799999999999997</v>
      </c>
      <c r="H166" s="3">
        <f t="shared" si="7"/>
        <v>1.19</v>
      </c>
      <c r="I166" s="7">
        <v>0.88</v>
      </c>
      <c r="J166" s="5">
        <f t="shared" si="8"/>
        <v>21.729999999999997</v>
      </c>
    </row>
    <row r="167" spans="1:10" x14ac:dyDescent="0.35">
      <c r="A167" s="3" t="s">
        <v>176</v>
      </c>
      <c r="B167" s="6">
        <v>43774</v>
      </c>
      <c r="C167" s="10" t="s">
        <v>589</v>
      </c>
      <c r="D167" s="3" t="s">
        <v>27</v>
      </c>
      <c r="E167" s="4">
        <v>2.78</v>
      </c>
      <c r="F167" s="3">
        <v>47</v>
      </c>
      <c r="G167" s="3">
        <f t="shared" si="6"/>
        <v>130.66</v>
      </c>
      <c r="H167" s="3">
        <f t="shared" si="7"/>
        <v>6.5330000000000004</v>
      </c>
      <c r="I167" s="7">
        <v>1.34</v>
      </c>
      <c r="J167" s="5">
        <f t="shared" si="8"/>
        <v>122.78699999999999</v>
      </c>
    </row>
    <row r="168" spans="1:10" x14ac:dyDescent="0.35">
      <c r="A168" s="3" t="s">
        <v>177</v>
      </c>
      <c r="B168" s="6">
        <v>43773</v>
      </c>
      <c r="C168" s="10" t="s">
        <v>589</v>
      </c>
      <c r="D168" s="3" t="s">
        <v>9</v>
      </c>
      <c r="E168" s="4">
        <v>2.62</v>
      </c>
      <c r="F168" s="3">
        <v>30</v>
      </c>
      <c r="G168" s="3">
        <f t="shared" si="6"/>
        <v>78.600000000000009</v>
      </c>
      <c r="H168" s="3">
        <f t="shared" si="7"/>
        <v>3.9300000000000006</v>
      </c>
      <c r="I168" s="7">
        <v>0.8</v>
      </c>
      <c r="J168" s="5">
        <f t="shared" si="8"/>
        <v>73.87</v>
      </c>
    </row>
    <row r="169" spans="1:10" x14ac:dyDescent="0.35">
      <c r="A169" s="3" t="s">
        <v>178</v>
      </c>
      <c r="B169" s="6">
        <v>43772</v>
      </c>
      <c r="C169" s="10" t="s">
        <v>589</v>
      </c>
      <c r="D169" s="3" t="s">
        <v>9</v>
      </c>
      <c r="E169" s="4">
        <v>36.549999999999997</v>
      </c>
      <c r="F169" s="3">
        <v>34</v>
      </c>
      <c r="G169" s="3">
        <f t="shared" si="6"/>
        <v>1242.6999999999998</v>
      </c>
      <c r="H169" s="3">
        <f t="shared" si="7"/>
        <v>62.134999999999991</v>
      </c>
      <c r="I169" s="7">
        <v>13.89</v>
      </c>
      <c r="J169" s="5">
        <f t="shared" si="8"/>
        <v>1166.6749999999997</v>
      </c>
    </row>
    <row r="170" spans="1:10" x14ac:dyDescent="0.35">
      <c r="A170" s="3" t="s">
        <v>179</v>
      </c>
      <c r="B170" s="6">
        <v>43771</v>
      </c>
      <c r="C170" s="10" t="s">
        <v>588</v>
      </c>
      <c r="D170" s="3" t="s">
        <v>9</v>
      </c>
      <c r="E170" s="4">
        <v>5.68</v>
      </c>
      <c r="F170" s="3">
        <v>27</v>
      </c>
      <c r="G170" s="3">
        <f t="shared" si="6"/>
        <v>153.35999999999999</v>
      </c>
      <c r="H170" s="3">
        <f t="shared" si="7"/>
        <v>7.6679999999999993</v>
      </c>
      <c r="I170" s="7">
        <v>3.6</v>
      </c>
      <c r="J170" s="5">
        <f t="shared" si="8"/>
        <v>142.09199999999998</v>
      </c>
    </row>
    <row r="171" spans="1:10" x14ac:dyDescent="0.35">
      <c r="A171" s="3" t="s">
        <v>180</v>
      </c>
      <c r="B171" s="6">
        <v>43770</v>
      </c>
      <c r="C171" s="10" t="s">
        <v>587</v>
      </c>
      <c r="D171" s="3" t="s">
        <v>9</v>
      </c>
      <c r="E171" s="4">
        <v>159.99</v>
      </c>
      <c r="F171" s="3">
        <v>31</v>
      </c>
      <c r="G171" s="3">
        <f t="shared" si="6"/>
        <v>4959.6900000000005</v>
      </c>
      <c r="H171" s="3">
        <f t="shared" si="7"/>
        <v>247.98450000000003</v>
      </c>
      <c r="I171" s="7">
        <v>5.5</v>
      </c>
      <c r="J171" s="5">
        <f t="shared" si="8"/>
        <v>4706.2055</v>
      </c>
    </row>
    <row r="172" spans="1:10" x14ac:dyDescent="0.35">
      <c r="A172" s="3" t="s">
        <v>181</v>
      </c>
      <c r="B172" s="6">
        <v>43769</v>
      </c>
      <c r="C172" s="10" t="s">
        <v>8</v>
      </c>
      <c r="D172" s="3" t="s">
        <v>9</v>
      </c>
      <c r="E172" s="4">
        <v>22.38</v>
      </c>
      <c r="F172" s="3">
        <v>11</v>
      </c>
      <c r="G172" s="3">
        <f t="shared" si="6"/>
        <v>246.17999999999998</v>
      </c>
      <c r="H172" s="3">
        <f t="shared" si="7"/>
        <v>12.308999999999999</v>
      </c>
      <c r="I172" s="7">
        <v>15.1</v>
      </c>
      <c r="J172" s="5">
        <f t="shared" si="8"/>
        <v>218.77099999999999</v>
      </c>
    </row>
    <row r="173" spans="1:10" x14ac:dyDescent="0.35">
      <c r="A173" s="3" t="s">
        <v>182</v>
      </c>
      <c r="B173" s="6">
        <v>43768</v>
      </c>
      <c r="C173" s="10" t="s">
        <v>8</v>
      </c>
      <c r="D173" s="3" t="s">
        <v>27</v>
      </c>
      <c r="E173" s="4">
        <v>2.1</v>
      </c>
      <c r="F173" s="3">
        <v>31</v>
      </c>
      <c r="G173" s="3">
        <f t="shared" si="6"/>
        <v>65.100000000000009</v>
      </c>
      <c r="H173" s="3">
        <f t="shared" si="7"/>
        <v>3.2550000000000008</v>
      </c>
      <c r="I173" s="7">
        <v>0.7</v>
      </c>
      <c r="J173" s="5">
        <f t="shared" si="8"/>
        <v>61.145000000000003</v>
      </c>
    </row>
    <row r="174" spans="1:10" x14ac:dyDescent="0.35">
      <c r="A174" s="3" t="s">
        <v>183</v>
      </c>
      <c r="B174" s="6">
        <v>43767</v>
      </c>
      <c r="C174" s="10" t="s">
        <v>588</v>
      </c>
      <c r="D174" s="3" t="s">
        <v>9</v>
      </c>
      <c r="E174" s="4">
        <v>20.99</v>
      </c>
      <c r="F174" s="3">
        <v>2</v>
      </c>
      <c r="G174" s="3">
        <f t="shared" si="6"/>
        <v>41.98</v>
      </c>
      <c r="H174" s="3">
        <f t="shared" si="7"/>
        <v>2.0989999999999998</v>
      </c>
      <c r="I174" s="7">
        <v>4.8099999999999996</v>
      </c>
      <c r="J174" s="5">
        <f t="shared" si="8"/>
        <v>35.070999999999998</v>
      </c>
    </row>
    <row r="175" spans="1:10" x14ac:dyDescent="0.35">
      <c r="A175" s="3" t="s">
        <v>184</v>
      </c>
      <c r="B175" s="6">
        <v>43766</v>
      </c>
      <c r="C175" s="10" t="s">
        <v>8</v>
      </c>
      <c r="D175" s="3" t="s">
        <v>9</v>
      </c>
      <c r="E175" s="4">
        <v>152.47999999999999</v>
      </c>
      <c r="F175" s="3">
        <v>37</v>
      </c>
      <c r="G175" s="3">
        <f t="shared" si="6"/>
        <v>5641.7599999999993</v>
      </c>
      <c r="H175" s="3">
        <f t="shared" si="7"/>
        <v>282.08799999999997</v>
      </c>
      <c r="I175" s="7">
        <v>4</v>
      </c>
      <c r="J175" s="5">
        <f t="shared" si="8"/>
        <v>5355.6719999999996</v>
      </c>
    </row>
    <row r="176" spans="1:10" x14ac:dyDescent="0.35">
      <c r="A176" s="3" t="s">
        <v>185</v>
      </c>
      <c r="B176" s="6">
        <v>43765</v>
      </c>
      <c r="C176" s="10" t="s">
        <v>8</v>
      </c>
      <c r="D176" s="3" t="s">
        <v>9</v>
      </c>
      <c r="E176" s="4">
        <v>35.409999999999997</v>
      </c>
      <c r="F176" s="3">
        <v>30</v>
      </c>
      <c r="G176" s="3">
        <f t="shared" si="6"/>
        <v>1062.3</v>
      </c>
      <c r="H176" s="3">
        <f t="shared" si="7"/>
        <v>53.115000000000002</v>
      </c>
      <c r="I176" s="7">
        <v>1.99</v>
      </c>
      <c r="J176" s="5">
        <f t="shared" si="8"/>
        <v>1007.1949999999999</v>
      </c>
    </row>
    <row r="177" spans="1:10" x14ac:dyDescent="0.35">
      <c r="A177" s="3" t="s">
        <v>186</v>
      </c>
      <c r="B177" s="6">
        <v>43764</v>
      </c>
      <c r="C177" s="10" t="s">
        <v>11</v>
      </c>
      <c r="D177" s="3" t="s">
        <v>9</v>
      </c>
      <c r="E177" s="4">
        <v>1.1399999999999999</v>
      </c>
      <c r="F177" s="3">
        <v>31</v>
      </c>
      <c r="G177" s="3">
        <f t="shared" si="6"/>
        <v>35.339999999999996</v>
      </c>
      <c r="H177" s="3">
        <f t="shared" si="7"/>
        <v>1.7669999999999999</v>
      </c>
      <c r="I177" s="7">
        <v>0.7</v>
      </c>
      <c r="J177" s="5">
        <f t="shared" si="8"/>
        <v>32.87299999999999</v>
      </c>
    </row>
    <row r="178" spans="1:10" x14ac:dyDescent="0.35">
      <c r="A178" s="3" t="s">
        <v>187</v>
      </c>
      <c r="B178" s="6">
        <v>43763</v>
      </c>
      <c r="C178" s="10" t="s">
        <v>8</v>
      </c>
      <c r="D178" s="3" t="s">
        <v>27</v>
      </c>
      <c r="E178" s="4">
        <v>162.93</v>
      </c>
      <c r="F178" s="3">
        <v>36</v>
      </c>
      <c r="G178" s="3">
        <f t="shared" si="6"/>
        <v>5865.4800000000005</v>
      </c>
      <c r="H178" s="3">
        <f t="shared" si="7"/>
        <v>293.27400000000006</v>
      </c>
      <c r="I178" s="7">
        <v>19.989999999999998</v>
      </c>
      <c r="J178" s="5">
        <f t="shared" si="8"/>
        <v>5552.2160000000003</v>
      </c>
    </row>
    <row r="179" spans="1:10" x14ac:dyDescent="0.35">
      <c r="A179" s="3" t="s">
        <v>188</v>
      </c>
      <c r="B179" s="6">
        <v>43762</v>
      </c>
      <c r="C179" s="10" t="s">
        <v>588</v>
      </c>
      <c r="D179" s="3" t="s">
        <v>9</v>
      </c>
      <c r="E179" s="4">
        <v>152.47999999999999</v>
      </c>
      <c r="F179" s="3">
        <v>12</v>
      </c>
      <c r="G179" s="3">
        <f t="shared" si="6"/>
        <v>1829.7599999999998</v>
      </c>
      <c r="H179" s="3">
        <f t="shared" si="7"/>
        <v>91.488</v>
      </c>
      <c r="I179" s="7">
        <v>4</v>
      </c>
      <c r="J179" s="5">
        <f t="shared" si="8"/>
        <v>1734.2719999999997</v>
      </c>
    </row>
    <row r="180" spans="1:10" x14ac:dyDescent="0.35">
      <c r="A180" s="3" t="s">
        <v>189</v>
      </c>
      <c r="B180" s="6">
        <v>43761</v>
      </c>
      <c r="C180" s="10" t="s">
        <v>8</v>
      </c>
      <c r="D180" s="3" t="s">
        <v>9</v>
      </c>
      <c r="E180" s="4">
        <v>2.84</v>
      </c>
      <c r="F180" s="3">
        <v>9</v>
      </c>
      <c r="G180" s="3">
        <f t="shared" si="6"/>
        <v>25.56</v>
      </c>
      <c r="H180" s="3">
        <f t="shared" si="7"/>
        <v>1.278</v>
      </c>
      <c r="I180" s="7">
        <v>0.93</v>
      </c>
      <c r="J180" s="5">
        <f t="shared" si="8"/>
        <v>23.352</v>
      </c>
    </row>
    <row r="181" spans="1:10" x14ac:dyDescent="0.35">
      <c r="A181" s="3" t="s">
        <v>190</v>
      </c>
      <c r="B181" s="6">
        <v>43760</v>
      </c>
      <c r="C181" s="10" t="s">
        <v>587</v>
      </c>
      <c r="D181" s="3" t="s">
        <v>9</v>
      </c>
      <c r="E181" s="4">
        <v>3.08</v>
      </c>
      <c r="F181" s="3">
        <v>11</v>
      </c>
      <c r="G181" s="3">
        <f t="shared" si="6"/>
        <v>33.880000000000003</v>
      </c>
      <c r="H181" s="3">
        <f t="shared" si="7"/>
        <v>1.6940000000000002</v>
      </c>
      <c r="I181" s="7">
        <v>0.99</v>
      </c>
      <c r="J181" s="5">
        <f t="shared" si="8"/>
        <v>31.196000000000002</v>
      </c>
    </row>
    <row r="182" spans="1:10" x14ac:dyDescent="0.35">
      <c r="A182" s="3" t="s">
        <v>191</v>
      </c>
      <c r="B182" s="6">
        <v>43759</v>
      </c>
      <c r="C182" s="10" t="s">
        <v>8</v>
      </c>
      <c r="D182" s="3" t="s">
        <v>9</v>
      </c>
      <c r="E182" s="4">
        <v>1.1399999999999999</v>
      </c>
      <c r="F182" s="3">
        <v>3</v>
      </c>
      <c r="G182" s="3">
        <f t="shared" si="6"/>
        <v>3.42</v>
      </c>
      <c r="H182" s="3">
        <f t="shared" si="7"/>
        <v>0.17100000000000001</v>
      </c>
      <c r="I182" s="7">
        <v>0.7</v>
      </c>
      <c r="J182" s="5">
        <f t="shared" si="8"/>
        <v>2.5490000000000004</v>
      </c>
    </row>
    <row r="183" spans="1:10" x14ac:dyDescent="0.35">
      <c r="A183" s="3" t="s">
        <v>192</v>
      </c>
      <c r="B183" s="6">
        <v>43758</v>
      </c>
      <c r="C183" s="10" t="s">
        <v>8</v>
      </c>
      <c r="D183" s="3" t="s">
        <v>9</v>
      </c>
      <c r="E183" s="4">
        <v>6.08</v>
      </c>
      <c r="F183" s="3">
        <v>50</v>
      </c>
      <c r="G183" s="3">
        <f t="shared" si="6"/>
        <v>304</v>
      </c>
      <c r="H183" s="3">
        <f t="shared" si="7"/>
        <v>15.200000000000001</v>
      </c>
      <c r="I183" s="7">
        <v>1.82</v>
      </c>
      <c r="J183" s="5">
        <f t="shared" si="8"/>
        <v>286.98</v>
      </c>
    </row>
    <row r="184" spans="1:10" x14ac:dyDescent="0.35">
      <c r="A184" s="3" t="s">
        <v>193</v>
      </c>
      <c r="B184" s="6">
        <v>43757</v>
      </c>
      <c r="C184" s="10" t="s">
        <v>8</v>
      </c>
      <c r="D184" s="3" t="s">
        <v>9</v>
      </c>
      <c r="E184" s="4">
        <v>2.08</v>
      </c>
      <c r="F184" s="3">
        <v>49</v>
      </c>
      <c r="G184" s="3">
        <f t="shared" si="6"/>
        <v>101.92</v>
      </c>
      <c r="H184" s="3">
        <f t="shared" si="7"/>
        <v>5.0960000000000001</v>
      </c>
      <c r="I184" s="7">
        <v>2.56</v>
      </c>
      <c r="J184" s="5">
        <f t="shared" si="8"/>
        <v>94.263999999999996</v>
      </c>
    </row>
    <row r="185" spans="1:10" x14ac:dyDescent="0.35">
      <c r="A185" s="3" t="s">
        <v>194</v>
      </c>
      <c r="B185" s="6">
        <v>43756</v>
      </c>
      <c r="C185" s="10" t="s">
        <v>8</v>
      </c>
      <c r="D185" s="3" t="s">
        <v>9</v>
      </c>
      <c r="E185" s="4">
        <v>29.99</v>
      </c>
      <c r="F185" s="3">
        <v>1</v>
      </c>
      <c r="G185" s="3">
        <f t="shared" si="6"/>
        <v>29.99</v>
      </c>
      <c r="H185" s="3">
        <f t="shared" si="7"/>
        <v>1.4995000000000001</v>
      </c>
      <c r="I185" s="7">
        <v>5.5</v>
      </c>
      <c r="J185" s="5">
        <f t="shared" si="8"/>
        <v>22.990499999999997</v>
      </c>
    </row>
    <row r="186" spans="1:10" x14ac:dyDescent="0.35">
      <c r="A186" s="3" t="s">
        <v>195</v>
      </c>
      <c r="B186" s="6">
        <v>43755</v>
      </c>
      <c r="C186" s="10" t="s">
        <v>588</v>
      </c>
      <c r="D186" s="3" t="s">
        <v>9</v>
      </c>
      <c r="E186" s="4">
        <v>30.98</v>
      </c>
      <c r="F186" s="3">
        <v>24</v>
      </c>
      <c r="G186" s="3">
        <f t="shared" si="6"/>
        <v>743.52</v>
      </c>
      <c r="H186" s="3">
        <f t="shared" si="7"/>
        <v>37.176000000000002</v>
      </c>
      <c r="I186" s="7">
        <v>4</v>
      </c>
      <c r="J186" s="5">
        <f t="shared" si="8"/>
        <v>702.34399999999994</v>
      </c>
    </row>
    <row r="187" spans="1:10" x14ac:dyDescent="0.35">
      <c r="A187" s="3" t="s">
        <v>196</v>
      </c>
      <c r="B187" s="6">
        <v>43754</v>
      </c>
      <c r="C187" s="10" t="s">
        <v>8</v>
      </c>
      <c r="D187" s="3" t="s">
        <v>9</v>
      </c>
      <c r="E187" s="4">
        <v>34.76</v>
      </c>
      <c r="F187" s="3">
        <v>32</v>
      </c>
      <c r="G187" s="3">
        <f t="shared" si="6"/>
        <v>1112.32</v>
      </c>
      <c r="H187" s="3">
        <f t="shared" si="7"/>
        <v>55.616</v>
      </c>
      <c r="I187" s="7">
        <v>8.2200000000000006</v>
      </c>
      <c r="J187" s="5">
        <f t="shared" si="8"/>
        <v>1048.4839999999999</v>
      </c>
    </row>
    <row r="188" spans="1:10" x14ac:dyDescent="0.35">
      <c r="A188" s="3" t="s">
        <v>197</v>
      </c>
      <c r="B188" s="6">
        <v>43753</v>
      </c>
      <c r="C188" s="10" t="s">
        <v>8</v>
      </c>
      <c r="D188" s="3" t="s">
        <v>9</v>
      </c>
      <c r="E188" s="4">
        <v>8.6</v>
      </c>
      <c r="F188" s="3">
        <v>1</v>
      </c>
      <c r="G188" s="3">
        <f t="shared" si="6"/>
        <v>8.6</v>
      </c>
      <c r="H188" s="3">
        <f t="shared" si="7"/>
        <v>0.43</v>
      </c>
      <c r="I188" s="7">
        <v>6.19</v>
      </c>
      <c r="J188" s="5">
        <f t="shared" si="8"/>
        <v>1.9799999999999995</v>
      </c>
    </row>
    <row r="189" spans="1:10" x14ac:dyDescent="0.35">
      <c r="A189" s="3" t="s">
        <v>198</v>
      </c>
      <c r="B189" s="6">
        <v>43752</v>
      </c>
      <c r="C189" s="10" t="s">
        <v>587</v>
      </c>
      <c r="D189" s="3" t="s">
        <v>9</v>
      </c>
      <c r="E189" s="4">
        <v>83.93</v>
      </c>
      <c r="F189" s="3">
        <v>5</v>
      </c>
      <c r="G189" s="3">
        <f t="shared" si="6"/>
        <v>419.65000000000003</v>
      </c>
      <c r="H189" s="3">
        <f t="shared" si="7"/>
        <v>20.982500000000002</v>
      </c>
      <c r="I189" s="7">
        <v>19.989999999999998</v>
      </c>
      <c r="J189" s="5">
        <f t="shared" si="8"/>
        <v>378.67750000000001</v>
      </c>
    </row>
    <row r="190" spans="1:10" x14ac:dyDescent="0.35">
      <c r="A190" s="3" t="s">
        <v>199</v>
      </c>
      <c r="B190" s="6">
        <v>43751</v>
      </c>
      <c r="C190" s="10" t="s">
        <v>8</v>
      </c>
      <c r="D190" s="3" t="s">
        <v>27</v>
      </c>
      <c r="E190" s="4">
        <v>4.26</v>
      </c>
      <c r="F190" s="3">
        <v>5</v>
      </c>
      <c r="G190" s="3">
        <f t="shared" si="6"/>
        <v>21.299999999999997</v>
      </c>
      <c r="H190" s="3">
        <f t="shared" si="7"/>
        <v>1.0649999999999999</v>
      </c>
      <c r="I190" s="7">
        <v>1.2</v>
      </c>
      <c r="J190" s="5">
        <f t="shared" si="8"/>
        <v>19.034999999999997</v>
      </c>
    </row>
    <row r="191" spans="1:10" x14ac:dyDescent="0.35">
      <c r="A191" s="3" t="s">
        <v>200</v>
      </c>
      <c r="B191" s="6">
        <v>43750</v>
      </c>
      <c r="C191" s="10" t="s">
        <v>8</v>
      </c>
      <c r="D191" s="3" t="s">
        <v>9</v>
      </c>
      <c r="E191" s="4">
        <v>10.89</v>
      </c>
      <c r="F191" s="3">
        <v>1</v>
      </c>
      <c r="G191" s="3">
        <f t="shared" si="6"/>
        <v>10.89</v>
      </c>
      <c r="H191" s="3">
        <f t="shared" si="7"/>
        <v>0.5445000000000001</v>
      </c>
      <c r="I191" s="7">
        <v>4.5</v>
      </c>
      <c r="J191" s="5">
        <f t="shared" si="8"/>
        <v>5.8455000000000013</v>
      </c>
    </row>
    <row r="192" spans="1:10" x14ac:dyDescent="0.35">
      <c r="A192" s="3" t="s">
        <v>201</v>
      </c>
      <c r="B192" s="6">
        <v>43749</v>
      </c>
      <c r="C192" s="10" t="s">
        <v>588</v>
      </c>
      <c r="D192" s="3" t="s">
        <v>9</v>
      </c>
      <c r="E192" s="4">
        <v>1.88</v>
      </c>
      <c r="F192" s="3">
        <v>22</v>
      </c>
      <c r="G192" s="3">
        <f t="shared" si="6"/>
        <v>41.36</v>
      </c>
      <c r="H192" s="3">
        <f t="shared" si="7"/>
        <v>2.0680000000000001</v>
      </c>
      <c r="I192" s="7">
        <v>1.49</v>
      </c>
      <c r="J192" s="5">
        <f t="shared" si="8"/>
        <v>37.802</v>
      </c>
    </row>
    <row r="193" spans="1:10" x14ac:dyDescent="0.35">
      <c r="A193" s="3" t="s">
        <v>202</v>
      </c>
      <c r="B193" s="6">
        <v>43748</v>
      </c>
      <c r="C193" s="10" t="s">
        <v>8</v>
      </c>
      <c r="D193" s="3" t="s">
        <v>9</v>
      </c>
      <c r="E193" s="4">
        <v>12.22</v>
      </c>
      <c r="F193" s="3">
        <v>10</v>
      </c>
      <c r="G193" s="3">
        <f t="shared" si="6"/>
        <v>122.2</v>
      </c>
      <c r="H193" s="3">
        <f t="shared" si="7"/>
        <v>6.11</v>
      </c>
      <c r="I193" s="7">
        <v>2.85</v>
      </c>
      <c r="J193" s="5">
        <f t="shared" si="8"/>
        <v>113.24000000000001</v>
      </c>
    </row>
    <row r="194" spans="1:10" x14ac:dyDescent="0.35">
      <c r="A194" s="3" t="s">
        <v>203</v>
      </c>
      <c r="B194" s="6">
        <v>43747</v>
      </c>
      <c r="C194" s="10" t="s">
        <v>8</v>
      </c>
      <c r="D194" s="3" t="s">
        <v>9</v>
      </c>
      <c r="E194" s="4">
        <v>83.98</v>
      </c>
      <c r="F194" s="3">
        <v>46</v>
      </c>
      <c r="G194" s="3">
        <f t="shared" si="6"/>
        <v>3863.0800000000004</v>
      </c>
      <c r="H194" s="3">
        <f t="shared" si="7"/>
        <v>193.15400000000002</v>
      </c>
      <c r="I194" s="7">
        <v>5.01</v>
      </c>
      <c r="J194" s="5">
        <f t="shared" si="8"/>
        <v>3664.9160000000002</v>
      </c>
    </row>
    <row r="195" spans="1:10" x14ac:dyDescent="0.35">
      <c r="A195" s="3" t="s">
        <v>204</v>
      </c>
      <c r="B195" s="6">
        <v>43746</v>
      </c>
      <c r="C195" s="10" t="s">
        <v>8</v>
      </c>
      <c r="D195" s="3" t="s">
        <v>9</v>
      </c>
      <c r="E195" s="4">
        <v>34.76</v>
      </c>
      <c r="F195" s="3">
        <v>47</v>
      </c>
      <c r="G195" s="3">
        <f t="shared" ref="G195:G258" si="9">E195*F195</f>
        <v>1633.7199999999998</v>
      </c>
      <c r="H195" s="3">
        <f t="shared" ref="H195:H258" si="10">G195*5%</f>
        <v>81.685999999999993</v>
      </c>
      <c r="I195" s="7">
        <v>8.2200000000000006</v>
      </c>
      <c r="J195" s="5">
        <f t="shared" ref="J195:J258" si="11">G195-H195-I195</f>
        <v>1543.8139999999999</v>
      </c>
    </row>
    <row r="196" spans="1:10" x14ac:dyDescent="0.35">
      <c r="A196" s="3" t="s">
        <v>205</v>
      </c>
      <c r="B196" s="6">
        <v>43745</v>
      </c>
      <c r="C196" s="10" t="s">
        <v>588</v>
      </c>
      <c r="D196" s="3" t="s">
        <v>9</v>
      </c>
      <c r="E196" s="4">
        <v>2.94</v>
      </c>
      <c r="F196" s="3">
        <v>31</v>
      </c>
      <c r="G196" s="3">
        <f t="shared" si="9"/>
        <v>91.14</v>
      </c>
      <c r="H196" s="3">
        <f t="shared" si="10"/>
        <v>4.5570000000000004</v>
      </c>
      <c r="I196" s="7">
        <v>0.81</v>
      </c>
      <c r="J196" s="5">
        <f t="shared" si="11"/>
        <v>85.772999999999996</v>
      </c>
    </row>
    <row r="197" spans="1:10" x14ac:dyDescent="0.35">
      <c r="A197" s="3" t="s">
        <v>206</v>
      </c>
      <c r="B197" s="6">
        <v>43744</v>
      </c>
      <c r="C197" s="10" t="s">
        <v>11</v>
      </c>
      <c r="D197" s="3" t="s">
        <v>9</v>
      </c>
      <c r="E197" s="4">
        <v>34.76</v>
      </c>
      <c r="F197" s="3">
        <v>8</v>
      </c>
      <c r="G197" s="3">
        <f t="shared" si="9"/>
        <v>278.08</v>
      </c>
      <c r="H197" s="3">
        <f t="shared" si="10"/>
        <v>13.904</v>
      </c>
      <c r="I197" s="7">
        <v>8.2200000000000006</v>
      </c>
      <c r="J197" s="5">
        <f t="shared" si="11"/>
        <v>255.95599999999999</v>
      </c>
    </row>
    <row r="198" spans="1:10" x14ac:dyDescent="0.35">
      <c r="A198" s="3" t="s">
        <v>207</v>
      </c>
      <c r="B198" s="6">
        <v>43743</v>
      </c>
      <c r="C198" s="10" t="s">
        <v>8</v>
      </c>
      <c r="D198" s="3" t="s">
        <v>9</v>
      </c>
      <c r="E198" s="4">
        <v>3.69</v>
      </c>
      <c r="F198" s="3">
        <v>47</v>
      </c>
      <c r="G198" s="3">
        <f t="shared" si="9"/>
        <v>173.43</v>
      </c>
      <c r="H198" s="3">
        <f t="shared" si="10"/>
        <v>8.6715</v>
      </c>
      <c r="I198" s="7">
        <v>0.5</v>
      </c>
      <c r="J198" s="5">
        <f t="shared" si="11"/>
        <v>164.2585</v>
      </c>
    </row>
    <row r="199" spans="1:10" x14ac:dyDescent="0.35">
      <c r="A199" s="3" t="s">
        <v>208</v>
      </c>
      <c r="B199" s="6">
        <v>43742</v>
      </c>
      <c r="C199" s="10" t="s">
        <v>587</v>
      </c>
      <c r="D199" s="3" t="s">
        <v>9</v>
      </c>
      <c r="E199" s="4">
        <v>2.08</v>
      </c>
      <c r="F199" s="3">
        <v>43</v>
      </c>
      <c r="G199" s="3">
        <f t="shared" si="9"/>
        <v>89.44</v>
      </c>
      <c r="H199" s="3">
        <f t="shared" si="10"/>
        <v>4.4720000000000004</v>
      </c>
      <c r="I199" s="7">
        <v>1.49</v>
      </c>
      <c r="J199" s="5">
        <f t="shared" si="11"/>
        <v>83.478000000000009</v>
      </c>
    </row>
    <row r="200" spans="1:10" x14ac:dyDescent="0.35">
      <c r="A200" s="3" t="s">
        <v>209</v>
      </c>
      <c r="B200" s="6">
        <v>43741</v>
      </c>
      <c r="C200" s="10" t="s">
        <v>588</v>
      </c>
      <c r="D200" s="3" t="s">
        <v>9</v>
      </c>
      <c r="E200" s="4">
        <v>3.52</v>
      </c>
      <c r="F200" s="3">
        <v>42</v>
      </c>
      <c r="G200" s="3">
        <f t="shared" si="9"/>
        <v>147.84</v>
      </c>
      <c r="H200" s="3">
        <f t="shared" si="10"/>
        <v>7.3920000000000003</v>
      </c>
      <c r="I200" s="7">
        <v>6.83</v>
      </c>
      <c r="J200" s="5">
        <f t="shared" si="11"/>
        <v>133.61799999999999</v>
      </c>
    </row>
    <row r="201" spans="1:10" x14ac:dyDescent="0.35">
      <c r="A201" s="3" t="s">
        <v>210</v>
      </c>
      <c r="B201" s="6">
        <v>43740</v>
      </c>
      <c r="C201" s="10" t="s">
        <v>8</v>
      </c>
      <c r="D201" s="3" t="s">
        <v>9</v>
      </c>
      <c r="E201" s="4">
        <v>5.68</v>
      </c>
      <c r="F201" s="3">
        <v>34</v>
      </c>
      <c r="G201" s="3">
        <f t="shared" si="9"/>
        <v>193.12</v>
      </c>
      <c r="H201" s="3">
        <f t="shared" si="10"/>
        <v>9.6560000000000006</v>
      </c>
      <c r="I201" s="7">
        <v>1.39</v>
      </c>
      <c r="J201" s="5">
        <f t="shared" si="11"/>
        <v>182.07400000000001</v>
      </c>
    </row>
    <row r="202" spans="1:10" x14ac:dyDescent="0.35">
      <c r="A202" s="3" t="s">
        <v>211</v>
      </c>
      <c r="B202" s="6">
        <v>43739</v>
      </c>
      <c r="C202" s="10" t="s">
        <v>8</v>
      </c>
      <c r="D202" s="3" t="s">
        <v>9</v>
      </c>
      <c r="E202" s="4">
        <v>210.55</v>
      </c>
      <c r="F202" s="3">
        <v>4</v>
      </c>
      <c r="G202" s="3">
        <f t="shared" si="9"/>
        <v>842.2</v>
      </c>
      <c r="H202" s="3">
        <f t="shared" si="10"/>
        <v>42.110000000000007</v>
      </c>
      <c r="I202" s="7">
        <v>9.99</v>
      </c>
      <c r="J202" s="5">
        <f t="shared" si="11"/>
        <v>790.1</v>
      </c>
    </row>
    <row r="203" spans="1:10" x14ac:dyDescent="0.35">
      <c r="A203" s="3" t="s">
        <v>212</v>
      </c>
      <c r="B203" s="6">
        <v>43738</v>
      </c>
      <c r="C203" s="10" t="s">
        <v>588</v>
      </c>
      <c r="D203" s="3" t="s">
        <v>9</v>
      </c>
      <c r="E203" s="4">
        <v>3.98</v>
      </c>
      <c r="F203" s="3">
        <v>27</v>
      </c>
      <c r="G203" s="3">
        <f t="shared" si="9"/>
        <v>107.46</v>
      </c>
      <c r="H203" s="3">
        <f t="shared" si="10"/>
        <v>5.3730000000000002</v>
      </c>
      <c r="I203" s="7">
        <v>0.83</v>
      </c>
      <c r="J203" s="5">
        <f t="shared" si="11"/>
        <v>101.25699999999999</v>
      </c>
    </row>
    <row r="204" spans="1:10" x14ac:dyDescent="0.35">
      <c r="A204" s="3" t="s">
        <v>213</v>
      </c>
      <c r="B204" s="6">
        <v>43737</v>
      </c>
      <c r="C204" s="10" t="s">
        <v>8</v>
      </c>
      <c r="D204" s="3" t="s">
        <v>9</v>
      </c>
      <c r="E204" s="4">
        <v>1.1399999999999999</v>
      </c>
      <c r="F204" s="3">
        <v>20</v>
      </c>
      <c r="G204" s="3">
        <f t="shared" si="9"/>
        <v>22.799999999999997</v>
      </c>
      <c r="H204" s="3">
        <f t="shared" si="10"/>
        <v>1.1399999999999999</v>
      </c>
      <c r="I204" s="7">
        <v>0.7</v>
      </c>
      <c r="J204" s="5">
        <f t="shared" si="11"/>
        <v>20.959999999999997</v>
      </c>
    </row>
    <row r="205" spans="1:10" x14ac:dyDescent="0.35">
      <c r="A205" s="3" t="s">
        <v>214</v>
      </c>
      <c r="B205" s="6">
        <v>43736</v>
      </c>
      <c r="C205" s="10" t="s">
        <v>8</v>
      </c>
      <c r="D205" s="3" t="s">
        <v>9</v>
      </c>
      <c r="E205" s="4">
        <v>5.58</v>
      </c>
      <c r="F205" s="3">
        <v>13</v>
      </c>
      <c r="G205" s="3">
        <f t="shared" si="9"/>
        <v>72.540000000000006</v>
      </c>
      <c r="H205" s="3">
        <f t="shared" si="10"/>
        <v>3.6270000000000007</v>
      </c>
      <c r="I205" s="7">
        <v>2.99</v>
      </c>
      <c r="J205" s="5">
        <f t="shared" si="11"/>
        <v>65.923000000000016</v>
      </c>
    </row>
    <row r="206" spans="1:10" x14ac:dyDescent="0.35">
      <c r="A206" s="3" t="s">
        <v>215</v>
      </c>
      <c r="B206" s="6">
        <v>43735</v>
      </c>
      <c r="C206" s="10" t="s">
        <v>11</v>
      </c>
      <c r="D206" s="3" t="s">
        <v>9</v>
      </c>
      <c r="E206" s="4">
        <v>12.22</v>
      </c>
      <c r="F206" s="3">
        <v>46</v>
      </c>
      <c r="G206" s="3">
        <f t="shared" si="9"/>
        <v>562.12</v>
      </c>
      <c r="H206" s="3">
        <f t="shared" si="10"/>
        <v>28.106000000000002</v>
      </c>
      <c r="I206" s="7">
        <v>2.85</v>
      </c>
      <c r="J206" s="5">
        <f t="shared" si="11"/>
        <v>531.16399999999999</v>
      </c>
    </row>
    <row r="207" spans="1:10" x14ac:dyDescent="0.35">
      <c r="A207" s="3" t="s">
        <v>216</v>
      </c>
      <c r="B207" s="6">
        <v>43734</v>
      </c>
      <c r="C207" s="10" t="s">
        <v>588</v>
      </c>
      <c r="D207" s="3" t="s">
        <v>9</v>
      </c>
      <c r="E207" s="4">
        <v>3.58</v>
      </c>
      <c r="F207" s="3">
        <v>8</v>
      </c>
      <c r="G207" s="3">
        <f t="shared" si="9"/>
        <v>28.64</v>
      </c>
      <c r="H207" s="3">
        <f t="shared" si="10"/>
        <v>1.4320000000000002</v>
      </c>
      <c r="I207" s="7">
        <v>5.47</v>
      </c>
      <c r="J207" s="5">
        <f t="shared" si="11"/>
        <v>21.738000000000003</v>
      </c>
    </row>
    <row r="208" spans="1:10" x14ac:dyDescent="0.35">
      <c r="A208" s="3" t="s">
        <v>217</v>
      </c>
      <c r="B208" s="6">
        <v>43733</v>
      </c>
      <c r="C208" s="10" t="s">
        <v>11</v>
      </c>
      <c r="D208" s="3" t="s">
        <v>9</v>
      </c>
      <c r="E208" s="4">
        <v>5.68</v>
      </c>
      <c r="F208" s="3">
        <v>25</v>
      </c>
      <c r="G208" s="3">
        <f t="shared" si="9"/>
        <v>142</v>
      </c>
      <c r="H208" s="3">
        <f t="shared" si="10"/>
        <v>7.1000000000000005</v>
      </c>
      <c r="I208" s="7">
        <v>3.6</v>
      </c>
      <c r="J208" s="5">
        <f t="shared" si="11"/>
        <v>131.30000000000001</v>
      </c>
    </row>
    <row r="209" spans="1:10" x14ac:dyDescent="0.35">
      <c r="A209" s="3" t="s">
        <v>218</v>
      </c>
      <c r="B209" s="6">
        <v>43732</v>
      </c>
      <c r="C209" s="10" t="s">
        <v>8</v>
      </c>
      <c r="D209" s="3" t="s">
        <v>9</v>
      </c>
      <c r="E209" s="4">
        <v>2.88</v>
      </c>
      <c r="F209" s="3">
        <v>45</v>
      </c>
      <c r="G209" s="3">
        <f t="shared" si="9"/>
        <v>129.6</v>
      </c>
      <c r="H209" s="3">
        <f t="shared" si="10"/>
        <v>6.48</v>
      </c>
      <c r="I209" s="7">
        <v>1.49</v>
      </c>
      <c r="J209" s="5">
        <f t="shared" si="11"/>
        <v>121.63</v>
      </c>
    </row>
    <row r="210" spans="1:10" x14ac:dyDescent="0.35">
      <c r="A210" s="3" t="s">
        <v>219</v>
      </c>
      <c r="B210" s="6">
        <v>43731</v>
      </c>
      <c r="C210" s="10" t="s">
        <v>8</v>
      </c>
      <c r="D210" s="3" t="s">
        <v>9</v>
      </c>
      <c r="E210" s="4">
        <v>10.89</v>
      </c>
      <c r="F210" s="3">
        <v>39</v>
      </c>
      <c r="G210" s="3">
        <f t="shared" si="9"/>
        <v>424.71000000000004</v>
      </c>
      <c r="H210" s="3">
        <f t="shared" si="10"/>
        <v>21.235500000000002</v>
      </c>
      <c r="I210" s="7">
        <v>4.5</v>
      </c>
      <c r="J210" s="5">
        <f t="shared" si="11"/>
        <v>398.97450000000003</v>
      </c>
    </row>
    <row r="211" spans="1:10" x14ac:dyDescent="0.35">
      <c r="A211" s="3" t="s">
        <v>220</v>
      </c>
      <c r="B211" s="6">
        <v>43730</v>
      </c>
      <c r="C211" s="10" t="s">
        <v>588</v>
      </c>
      <c r="D211" s="3" t="s">
        <v>9</v>
      </c>
      <c r="E211" s="4">
        <v>3.69</v>
      </c>
      <c r="F211" s="3">
        <v>46</v>
      </c>
      <c r="G211" s="3">
        <f t="shared" si="9"/>
        <v>169.74</v>
      </c>
      <c r="H211" s="3">
        <f t="shared" si="10"/>
        <v>8.4870000000000001</v>
      </c>
      <c r="I211" s="7">
        <v>2.5</v>
      </c>
      <c r="J211" s="5">
        <f t="shared" si="11"/>
        <v>158.75300000000001</v>
      </c>
    </row>
    <row r="212" spans="1:10" x14ac:dyDescent="0.35">
      <c r="A212" s="3" t="s">
        <v>221</v>
      </c>
      <c r="B212" s="6">
        <v>43729</v>
      </c>
      <c r="C212" s="10" t="s">
        <v>8</v>
      </c>
      <c r="D212" s="3" t="s">
        <v>9</v>
      </c>
      <c r="E212" s="4">
        <v>15.98</v>
      </c>
      <c r="F212" s="3">
        <v>18</v>
      </c>
      <c r="G212" s="3">
        <f t="shared" si="9"/>
        <v>287.64</v>
      </c>
      <c r="H212" s="3">
        <f t="shared" si="10"/>
        <v>14.382</v>
      </c>
      <c r="I212" s="7">
        <v>6.5</v>
      </c>
      <c r="J212" s="5">
        <f t="shared" si="11"/>
        <v>266.75799999999998</v>
      </c>
    </row>
    <row r="213" spans="1:10" x14ac:dyDescent="0.35">
      <c r="A213" s="3" t="s">
        <v>222</v>
      </c>
      <c r="B213" s="6">
        <v>43728</v>
      </c>
      <c r="C213" s="10" t="s">
        <v>589</v>
      </c>
      <c r="D213" s="3" t="s">
        <v>9</v>
      </c>
      <c r="E213" s="4">
        <v>5.43</v>
      </c>
      <c r="F213" s="3">
        <v>37</v>
      </c>
      <c r="G213" s="3">
        <f t="shared" si="9"/>
        <v>200.91</v>
      </c>
      <c r="H213" s="3">
        <f t="shared" si="10"/>
        <v>10.045500000000001</v>
      </c>
      <c r="I213" s="7">
        <v>0.95</v>
      </c>
      <c r="J213" s="5">
        <f t="shared" si="11"/>
        <v>189.9145</v>
      </c>
    </row>
    <row r="214" spans="1:10" x14ac:dyDescent="0.35">
      <c r="A214" s="3" t="s">
        <v>223</v>
      </c>
      <c r="B214" s="6">
        <v>43727</v>
      </c>
      <c r="C214" s="10" t="s">
        <v>8</v>
      </c>
      <c r="D214" s="3" t="s">
        <v>9</v>
      </c>
      <c r="E214" s="4">
        <v>3.52</v>
      </c>
      <c r="F214" s="3">
        <v>32</v>
      </c>
      <c r="G214" s="3">
        <f t="shared" si="9"/>
        <v>112.64</v>
      </c>
      <c r="H214" s="3">
        <f t="shared" si="10"/>
        <v>5.6320000000000006</v>
      </c>
      <c r="I214" s="7">
        <v>6.83</v>
      </c>
      <c r="J214" s="5">
        <f t="shared" si="11"/>
        <v>100.178</v>
      </c>
    </row>
    <row r="215" spans="1:10" x14ac:dyDescent="0.35">
      <c r="A215" s="3" t="s">
        <v>224</v>
      </c>
      <c r="B215" s="6">
        <v>43726</v>
      </c>
      <c r="C215" s="10" t="s">
        <v>588</v>
      </c>
      <c r="D215" s="3" t="s">
        <v>9</v>
      </c>
      <c r="E215" s="4">
        <v>1.26</v>
      </c>
      <c r="F215" s="3">
        <v>11</v>
      </c>
      <c r="G215" s="3">
        <f t="shared" si="9"/>
        <v>13.86</v>
      </c>
      <c r="H215" s="3">
        <f t="shared" si="10"/>
        <v>0.69300000000000006</v>
      </c>
      <c r="I215" s="7">
        <v>0.7</v>
      </c>
      <c r="J215" s="5">
        <f t="shared" si="11"/>
        <v>12.467000000000001</v>
      </c>
    </row>
    <row r="216" spans="1:10" x14ac:dyDescent="0.35">
      <c r="A216" s="3" t="s">
        <v>225</v>
      </c>
      <c r="B216" s="6">
        <v>43725</v>
      </c>
      <c r="C216" s="10" t="s">
        <v>589</v>
      </c>
      <c r="D216" s="3" t="s">
        <v>9</v>
      </c>
      <c r="E216" s="4">
        <v>36.549999999999997</v>
      </c>
      <c r="F216" s="3">
        <v>17</v>
      </c>
      <c r="G216" s="3">
        <f t="shared" si="9"/>
        <v>621.34999999999991</v>
      </c>
      <c r="H216" s="3">
        <f t="shared" si="10"/>
        <v>31.067499999999995</v>
      </c>
      <c r="I216" s="7">
        <v>13.89</v>
      </c>
      <c r="J216" s="5">
        <f t="shared" si="11"/>
        <v>576.39249999999993</v>
      </c>
    </row>
    <row r="217" spans="1:10" x14ac:dyDescent="0.35">
      <c r="A217" s="3" t="s">
        <v>226</v>
      </c>
      <c r="B217" s="6">
        <v>43724</v>
      </c>
      <c r="C217" s="10" t="s">
        <v>11</v>
      </c>
      <c r="D217" s="3" t="s">
        <v>9</v>
      </c>
      <c r="E217" s="4">
        <v>2.98</v>
      </c>
      <c r="F217" s="3">
        <v>32</v>
      </c>
      <c r="G217" s="3">
        <f t="shared" si="9"/>
        <v>95.36</v>
      </c>
      <c r="H217" s="3">
        <f t="shared" si="10"/>
        <v>4.7679999999999998</v>
      </c>
      <c r="I217" s="7">
        <v>1.58</v>
      </c>
      <c r="J217" s="5">
        <f t="shared" si="11"/>
        <v>89.012</v>
      </c>
    </row>
    <row r="218" spans="1:10" x14ac:dyDescent="0.35">
      <c r="A218" s="3" t="s">
        <v>227</v>
      </c>
      <c r="B218" s="6">
        <v>43723</v>
      </c>
      <c r="C218" s="10" t="s">
        <v>589</v>
      </c>
      <c r="D218" s="3" t="s">
        <v>9</v>
      </c>
      <c r="E218" s="4">
        <v>136.97999999999999</v>
      </c>
      <c r="F218" s="3">
        <v>14</v>
      </c>
      <c r="G218" s="3">
        <f t="shared" si="9"/>
        <v>1917.7199999999998</v>
      </c>
      <c r="H218" s="3">
        <f t="shared" si="10"/>
        <v>95.885999999999996</v>
      </c>
      <c r="I218" s="7">
        <v>24.49</v>
      </c>
      <c r="J218" s="5">
        <f t="shared" si="11"/>
        <v>1797.3439999999998</v>
      </c>
    </row>
    <row r="219" spans="1:10" x14ac:dyDescent="0.35">
      <c r="A219" s="3" t="s">
        <v>228</v>
      </c>
      <c r="B219" s="6">
        <v>43722</v>
      </c>
      <c r="C219" s="10" t="s">
        <v>588</v>
      </c>
      <c r="D219" s="3" t="s">
        <v>9</v>
      </c>
      <c r="E219" s="4">
        <v>1.48</v>
      </c>
      <c r="F219" s="3">
        <v>3</v>
      </c>
      <c r="G219" s="3">
        <f t="shared" si="9"/>
        <v>4.4399999999999995</v>
      </c>
      <c r="H219" s="3">
        <f t="shared" si="10"/>
        <v>0.22199999999999998</v>
      </c>
      <c r="I219" s="7">
        <v>0.7</v>
      </c>
      <c r="J219" s="5">
        <f t="shared" si="11"/>
        <v>3.5179999999999998</v>
      </c>
    </row>
    <row r="220" spans="1:10" x14ac:dyDescent="0.35">
      <c r="A220" s="3" t="s">
        <v>229</v>
      </c>
      <c r="B220" s="6">
        <v>43721</v>
      </c>
      <c r="C220" s="10" t="s">
        <v>8</v>
      </c>
      <c r="D220" s="3" t="s">
        <v>9</v>
      </c>
      <c r="E220" s="4">
        <v>1.95</v>
      </c>
      <c r="F220" s="3">
        <v>23</v>
      </c>
      <c r="G220" s="3">
        <f t="shared" si="9"/>
        <v>44.85</v>
      </c>
      <c r="H220" s="3">
        <f t="shared" si="10"/>
        <v>2.2425000000000002</v>
      </c>
      <c r="I220" s="7">
        <v>1.63</v>
      </c>
      <c r="J220" s="5">
        <f t="shared" si="11"/>
        <v>40.977499999999999</v>
      </c>
    </row>
    <row r="221" spans="1:10" x14ac:dyDescent="0.35">
      <c r="A221" s="3" t="s">
        <v>230</v>
      </c>
      <c r="B221" s="6">
        <v>43720</v>
      </c>
      <c r="C221" s="10" t="s">
        <v>11</v>
      </c>
      <c r="D221" s="3" t="s">
        <v>19</v>
      </c>
      <c r="E221" s="4">
        <v>449.99</v>
      </c>
      <c r="F221" s="3">
        <v>43</v>
      </c>
      <c r="G221" s="3">
        <f t="shared" si="9"/>
        <v>19349.57</v>
      </c>
      <c r="H221" s="3">
        <f t="shared" si="10"/>
        <v>967.47850000000005</v>
      </c>
      <c r="I221" s="7">
        <v>49</v>
      </c>
      <c r="J221" s="5">
        <f t="shared" si="11"/>
        <v>18333.091499999999</v>
      </c>
    </row>
    <row r="222" spans="1:10" x14ac:dyDescent="0.35">
      <c r="A222" s="3" t="s">
        <v>231</v>
      </c>
      <c r="B222" s="6">
        <v>43719</v>
      </c>
      <c r="C222" s="10" t="s">
        <v>587</v>
      </c>
      <c r="D222" s="3" t="s">
        <v>9</v>
      </c>
      <c r="E222" s="4">
        <v>6.23</v>
      </c>
      <c r="F222" s="3">
        <v>21</v>
      </c>
      <c r="G222" s="3">
        <f t="shared" si="9"/>
        <v>130.83000000000001</v>
      </c>
      <c r="H222" s="3">
        <f t="shared" si="10"/>
        <v>6.541500000000001</v>
      </c>
      <c r="I222" s="7">
        <v>6.97</v>
      </c>
      <c r="J222" s="5">
        <f t="shared" si="11"/>
        <v>117.31850000000001</v>
      </c>
    </row>
    <row r="223" spans="1:10" x14ac:dyDescent="0.35">
      <c r="A223" s="3" t="s">
        <v>232</v>
      </c>
      <c r="B223" s="6">
        <v>43718</v>
      </c>
      <c r="C223" s="10" t="s">
        <v>11</v>
      </c>
      <c r="D223" s="3" t="s">
        <v>9</v>
      </c>
      <c r="E223" s="4">
        <v>1.81</v>
      </c>
      <c r="F223" s="3">
        <v>22</v>
      </c>
      <c r="G223" s="3">
        <f t="shared" si="9"/>
        <v>39.82</v>
      </c>
      <c r="H223" s="3">
        <f t="shared" si="10"/>
        <v>1.9910000000000001</v>
      </c>
      <c r="I223" s="7">
        <v>1.56</v>
      </c>
      <c r="J223" s="5">
        <f t="shared" si="11"/>
        <v>36.268999999999998</v>
      </c>
    </row>
    <row r="224" spans="1:10" x14ac:dyDescent="0.35">
      <c r="A224" s="3" t="s">
        <v>233</v>
      </c>
      <c r="B224" s="6">
        <v>43717</v>
      </c>
      <c r="C224" s="10" t="s">
        <v>8</v>
      </c>
      <c r="D224" s="3" t="s">
        <v>27</v>
      </c>
      <c r="E224" s="4">
        <v>4.26</v>
      </c>
      <c r="F224" s="3">
        <v>34</v>
      </c>
      <c r="G224" s="3">
        <f t="shared" si="9"/>
        <v>144.84</v>
      </c>
      <c r="H224" s="3">
        <f t="shared" si="10"/>
        <v>7.2420000000000009</v>
      </c>
      <c r="I224" s="7">
        <v>1.2</v>
      </c>
      <c r="J224" s="5">
        <f t="shared" si="11"/>
        <v>136.39800000000002</v>
      </c>
    </row>
    <row r="225" spans="1:10" x14ac:dyDescent="0.35">
      <c r="A225" s="3" t="s">
        <v>234</v>
      </c>
      <c r="B225" s="6">
        <v>43716</v>
      </c>
      <c r="C225" s="10" t="s">
        <v>8</v>
      </c>
      <c r="D225" s="3" t="s">
        <v>9</v>
      </c>
      <c r="E225" s="4">
        <v>2.78</v>
      </c>
      <c r="F225" s="3">
        <v>10</v>
      </c>
      <c r="G225" s="3">
        <f t="shared" si="9"/>
        <v>27.799999999999997</v>
      </c>
      <c r="H225" s="3">
        <f t="shared" si="10"/>
        <v>1.39</v>
      </c>
      <c r="I225" s="7">
        <v>1.34</v>
      </c>
      <c r="J225" s="5">
        <f t="shared" si="11"/>
        <v>25.069999999999997</v>
      </c>
    </row>
    <row r="226" spans="1:10" x14ac:dyDescent="0.35">
      <c r="A226" s="3" t="s">
        <v>235</v>
      </c>
      <c r="B226" s="6">
        <v>43715</v>
      </c>
      <c r="C226" s="10" t="s">
        <v>8</v>
      </c>
      <c r="D226" s="3" t="s">
        <v>9</v>
      </c>
      <c r="E226" s="4">
        <v>9.31</v>
      </c>
      <c r="F226" s="3">
        <v>35</v>
      </c>
      <c r="G226" s="3">
        <f t="shared" si="9"/>
        <v>325.85000000000002</v>
      </c>
      <c r="H226" s="3">
        <f t="shared" si="10"/>
        <v>16.2925</v>
      </c>
      <c r="I226" s="7">
        <v>3.98</v>
      </c>
      <c r="J226" s="5">
        <f t="shared" si="11"/>
        <v>305.57749999999999</v>
      </c>
    </row>
    <row r="227" spans="1:10" x14ac:dyDescent="0.35">
      <c r="A227" s="3" t="s">
        <v>236</v>
      </c>
      <c r="B227" s="6">
        <v>43714</v>
      </c>
      <c r="C227" s="10" t="s">
        <v>8</v>
      </c>
      <c r="D227" s="3" t="s">
        <v>27</v>
      </c>
      <c r="E227" s="4">
        <v>1.26</v>
      </c>
      <c r="F227" s="3">
        <v>40</v>
      </c>
      <c r="G227" s="3">
        <f t="shared" si="9"/>
        <v>50.4</v>
      </c>
      <c r="H227" s="3">
        <f t="shared" si="10"/>
        <v>2.52</v>
      </c>
      <c r="I227" s="7">
        <v>0.7</v>
      </c>
      <c r="J227" s="5">
        <f t="shared" si="11"/>
        <v>47.179999999999993</v>
      </c>
    </row>
    <row r="228" spans="1:10" x14ac:dyDescent="0.35">
      <c r="A228" s="3" t="s">
        <v>237</v>
      </c>
      <c r="B228" s="6">
        <v>43713</v>
      </c>
      <c r="C228" s="10" t="s">
        <v>8</v>
      </c>
      <c r="D228" s="3" t="s">
        <v>9</v>
      </c>
      <c r="E228" s="4">
        <v>22.38</v>
      </c>
      <c r="F228" s="3">
        <v>16</v>
      </c>
      <c r="G228" s="3">
        <f t="shared" si="9"/>
        <v>358.08</v>
      </c>
      <c r="H228" s="3">
        <f t="shared" si="10"/>
        <v>17.904</v>
      </c>
      <c r="I228" s="7">
        <v>15.1</v>
      </c>
      <c r="J228" s="5">
        <f t="shared" si="11"/>
        <v>325.07599999999996</v>
      </c>
    </row>
    <row r="229" spans="1:10" x14ac:dyDescent="0.35">
      <c r="A229" s="3" t="s">
        <v>238</v>
      </c>
      <c r="B229" s="6">
        <v>43712</v>
      </c>
      <c r="C229" s="10" t="s">
        <v>8</v>
      </c>
      <c r="D229" s="3" t="s">
        <v>9</v>
      </c>
      <c r="E229" s="4">
        <v>2.08</v>
      </c>
      <c r="F229" s="3">
        <v>2</v>
      </c>
      <c r="G229" s="3">
        <f t="shared" si="9"/>
        <v>4.16</v>
      </c>
      <c r="H229" s="3">
        <f t="shared" si="10"/>
        <v>0.20800000000000002</v>
      </c>
      <c r="I229" s="7">
        <v>2.56</v>
      </c>
      <c r="J229" s="5">
        <f t="shared" si="11"/>
        <v>1.3919999999999999</v>
      </c>
    </row>
    <row r="230" spans="1:10" x14ac:dyDescent="0.35">
      <c r="A230" s="3" t="s">
        <v>239</v>
      </c>
      <c r="B230" s="6">
        <v>43711</v>
      </c>
      <c r="C230" s="10" t="s">
        <v>587</v>
      </c>
      <c r="D230" s="3" t="s">
        <v>9</v>
      </c>
      <c r="E230" s="4">
        <v>12.98</v>
      </c>
      <c r="F230" s="3">
        <v>45</v>
      </c>
      <c r="G230" s="3">
        <f t="shared" si="9"/>
        <v>584.1</v>
      </c>
      <c r="H230" s="3">
        <f t="shared" si="10"/>
        <v>29.205000000000002</v>
      </c>
      <c r="I230" s="7">
        <v>3.14</v>
      </c>
      <c r="J230" s="5">
        <f t="shared" si="11"/>
        <v>551.755</v>
      </c>
    </row>
    <row r="231" spans="1:10" x14ac:dyDescent="0.35">
      <c r="A231" s="3" t="s">
        <v>240</v>
      </c>
      <c r="B231" s="6">
        <v>43710</v>
      </c>
      <c r="C231" s="10" t="s">
        <v>11</v>
      </c>
      <c r="D231" s="3" t="s">
        <v>9</v>
      </c>
      <c r="E231" s="4">
        <v>3.08</v>
      </c>
      <c r="F231" s="3">
        <v>42</v>
      </c>
      <c r="G231" s="3">
        <f t="shared" si="9"/>
        <v>129.36000000000001</v>
      </c>
      <c r="H231" s="3">
        <f t="shared" si="10"/>
        <v>6.4680000000000009</v>
      </c>
      <c r="I231" s="7">
        <v>0.99</v>
      </c>
      <c r="J231" s="5">
        <f t="shared" si="11"/>
        <v>121.90200000000002</v>
      </c>
    </row>
    <row r="232" spans="1:10" x14ac:dyDescent="0.35">
      <c r="A232" s="3" t="s">
        <v>241</v>
      </c>
      <c r="B232" s="6">
        <v>43709</v>
      </c>
      <c r="C232" s="10" t="s">
        <v>11</v>
      </c>
      <c r="D232" s="3" t="s">
        <v>9</v>
      </c>
      <c r="E232" s="4">
        <v>449.99</v>
      </c>
      <c r="F232" s="3">
        <v>49</v>
      </c>
      <c r="G232" s="3">
        <f t="shared" si="9"/>
        <v>22049.510000000002</v>
      </c>
      <c r="H232" s="3">
        <f t="shared" si="10"/>
        <v>1102.4755000000002</v>
      </c>
      <c r="I232" s="7">
        <v>24.49</v>
      </c>
      <c r="J232" s="5">
        <f t="shared" si="11"/>
        <v>20922.5445</v>
      </c>
    </row>
    <row r="233" spans="1:10" x14ac:dyDescent="0.35">
      <c r="A233" s="3" t="s">
        <v>242</v>
      </c>
      <c r="B233" s="6">
        <v>43708</v>
      </c>
      <c r="C233" s="10" t="s">
        <v>589</v>
      </c>
      <c r="D233" s="3" t="s">
        <v>19</v>
      </c>
      <c r="E233" s="4">
        <v>120.97</v>
      </c>
      <c r="F233" s="3">
        <v>42</v>
      </c>
      <c r="G233" s="3">
        <f t="shared" si="9"/>
        <v>5080.74</v>
      </c>
      <c r="H233" s="3">
        <f t="shared" si="10"/>
        <v>254.03700000000001</v>
      </c>
      <c r="I233" s="7">
        <v>26.3</v>
      </c>
      <c r="J233" s="5">
        <f t="shared" si="11"/>
        <v>4800.4029999999993</v>
      </c>
    </row>
    <row r="234" spans="1:10" x14ac:dyDescent="0.35">
      <c r="A234" s="3" t="s">
        <v>243</v>
      </c>
      <c r="B234" s="6">
        <v>43707</v>
      </c>
      <c r="C234" s="10" t="s">
        <v>587</v>
      </c>
      <c r="D234" s="3" t="s">
        <v>9</v>
      </c>
      <c r="E234" s="4">
        <v>5.68</v>
      </c>
      <c r="F234" s="3">
        <v>45</v>
      </c>
      <c r="G234" s="3">
        <f t="shared" si="9"/>
        <v>255.6</v>
      </c>
      <c r="H234" s="3">
        <f t="shared" si="10"/>
        <v>12.780000000000001</v>
      </c>
      <c r="I234" s="7">
        <v>3.6</v>
      </c>
      <c r="J234" s="5">
        <f t="shared" si="11"/>
        <v>239.22</v>
      </c>
    </row>
    <row r="235" spans="1:10" x14ac:dyDescent="0.35">
      <c r="A235" s="3" t="s">
        <v>244</v>
      </c>
      <c r="B235" s="6">
        <v>43706</v>
      </c>
      <c r="C235" s="10" t="s">
        <v>8</v>
      </c>
      <c r="D235" s="3" t="s">
        <v>9</v>
      </c>
      <c r="E235" s="4">
        <v>2.61</v>
      </c>
      <c r="F235" s="3">
        <v>8</v>
      </c>
      <c r="G235" s="3">
        <f t="shared" si="9"/>
        <v>20.88</v>
      </c>
      <c r="H235" s="3">
        <f t="shared" si="10"/>
        <v>1.044</v>
      </c>
      <c r="I235" s="7">
        <v>0.5</v>
      </c>
      <c r="J235" s="5">
        <f t="shared" si="11"/>
        <v>19.335999999999999</v>
      </c>
    </row>
    <row r="236" spans="1:10" x14ac:dyDescent="0.35">
      <c r="A236" s="3" t="s">
        <v>245</v>
      </c>
      <c r="B236" s="6">
        <v>43705</v>
      </c>
      <c r="C236" s="10" t="s">
        <v>11</v>
      </c>
      <c r="D236" s="3" t="s">
        <v>9</v>
      </c>
      <c r="E236" s="4">
        <v>3.78</v>
      </c>
      <c r="F236" s="3">
        <v>28</v>
      </c>
      <c r="G236" s="3">
        <f t="shared" si="9"/>
        <v>105.83999999999999</v>
      </c>
      <c r="H236" s="3">
        <f t="shared" si="10"/>
        <v>5.2919999999999998</v>
      </c>
      <c r="I236" s="7">
        <v>0.71</v>
      </c>
      <c r="J236" s="5">
        <f t="shared" si="11"/>
        <v>99.837999999999994</v>
      </c>
    </row>
    <row r="237" spans="1:10" x14ac:dyDescent="0.35">
      <c r="A237" s="3" t="s">
        <v>246</v>
      </c>
      <c r="B237" s="6">
        <v>43704</v>
      </c>
      <c r="C237" s="10" t="s">
        <v>11</v>
      </c>
      <c r="D237" s="3" t="s">
        <v>9</v>
      </c>
      <c r="E237" s="4">
        <v>20.99</v>
      </c>
      <c r="F237" s="3">
        <v>2</v>
      </c>
      <c r="G237" s="3">
        <f t="shared" si="9"/>
        <v>41.98</v>
      </c>
      <c r="H237" s="3">
        <f t="shared" si="10"/>
        <v>2.0989999999999998</v>
      </c>
      <c r="I237" s="7">
        <v>4.8099999999999996</v>
      </c>
      <c r="J237" s="5">
        <f t="shared" si="11"/>
        <v>35.070999999999998</v>
      </c>
    </row>
    <row r="238" spans="1:10" x14ac:dyDescent="0.35">
      <c r="A238" s="3" t="s">
        <v>247</v>
      </c>
      <c r="B238" s="6">
        <v>43703</v>
      </c>
      <c r="C238" s="10" t="s">
        <v>589</v>
      </c>
      <c r="D238" s="3" t="s">
        <v>9</v>
      </c>
      <c r="E238" s="4">
        <v>4.76</v>
      </c>
      <c r="F238" s="3">
        <v>23</v>
      </c>
      <c r="G238" s="3">
        <f t="shared" si="9"/>
        <v>109.47999999999999</v>
      </c>
      <c r="H238" s="3">
        <f t="shared" si="10"/>
        <v>5.4740000000000002</v>
      </c>
      <c r="I238" s="7">
        <v>0.88</v>
      </c>
      <c r="J238" s="5">
        <f t="shared" si="11"/>
        <v>103.12599999999999</v>
      </c>
    </row>
    <row r="239" spans="1:10" x14ac:dyDescent="0.35">
      <c r="A239" s="3" t="s">
        <v>248</v>
      </c>
      <c r="B239" s="6">
        <v>43702</v>
      </c>
      <c r="C239" s="10" t="s">
        <v>587</v>
      </c>
      <c r="D239" s="3" t="s">
        <v>9</v>
      </c>
      <c r="E239" s="4">
        <v>2.88</v>
      </c>
      <c r="F239" s="3">
        <v>18</v>
      </c>
      <c r="G239" s="3">
        <f t="shared" si="9"/>
        <v>51.839999999999996</v>
      </c>
      <c r="H239" s="3">
        <f t="shared" si="10"/>
        <v>2.5920000000000001</v>
      </c>
      <c r="I239" s="7">
        <v>5.33</v>
      </c>
      <c r="J239" s="5">
        <f t="shared" si="11"/>
        <v>43.917999999999999</v>
      </c>
    </row>
    <row r="240" spans="1:10" x14ac:dyDescent="0.35">
      <c r="A240" s="3" t="s">
        <v>249</v>
      </c>
      <c r="B240" s="6">
        <v>43701</v>
      </c>
      <c r="C240" s="10" t="s">
        <v>588</v>
      </c>
      <c r="D240" s="3" t="s">
        <v>9</v>
      </c>
      <c r="E240" s="4">
        <v>7.08</v>
      </c>
      <c r="F240" s="3">
        <v>16</v>
      </c>
      <c r="G240" s="3">
        <f t="shared" si="9"/>
        <v>113.28</v>
      </c>
      <c r="H240" s="3">
        <f t="shared" si="10"/>
        <v>5.6640000000000006</v>
      </c>
      <c r="I240" s="7">
        <v>2.35</v>
      </c>
      <c r="J240" s="5">
        <f t="shared" si="11"/>
        <v>105.26600000000001</v>
      </c>
    </row>
    <row r="241" spans="1:10" x14ac:dyDescent="0.35">
      <c r="A241" s="3" t="s">
        <v>250</v>
      </c>
      <c r="B241" s="6">
        <v>43700</v>
      </c>
      <c r="C241" s="10" t="s">
        <v>589</v>
      </c>
      <c r="D241" s="3" t="s">
        <v>9</v>
      </c>
      <c r="E241" s="4">
        <v>1.26</v>
      </c>
      <c r="F241" s="3">
        <v>47</v>
      </c>
      <c r="G241" s="3">
        <f t="shared" si="9"/>
        <v>59.22</v>
      </c>
      <c r="H241" s="3">
        <f t="shared" si="10"/>
        <v>2.9610000000000003</v>
      </c>
      <c r="I241" s="7">
        <v>0.7</v>
      </c>
      <c r="J241" s="5">
        <f t="shared" si="11"/>
        <v>55.558999999999997</v>
      </c>
    </row>
    <row r="242" spans="1:10" x14ac:dyDescent="0.35">
      <c r="A242" s="3" t="s">
        <v>251</v>
      </c>
      <c r="B242" s="6">
        <v>43699</v>
      </c>
      <c r="C242" s="10" t="s">
        <v>588</v>
      </c>
      <c r="D242" s="3" t="s">
        <v>27</v>
      </c>
      <c r="E242" s="4">
        <v>8.1199999999999992</v>
      </c>
      <c r="F242" s="3">
        <v>37</v>
      </c>
      <c r="G242" s="3">
        <f t="shared" si="9"/>
        <v>300.44</v>
      </c>
      <c r="H242" s="3">
        <f t="shared" si="10"/>
        <v>15.022</v>
      </c>
      <c r="I242" s="7">
        <v>2.83</v>
      </c>
      <c r="J242" s="5">
        <f t="shared" si="11"/>
        <v>282.58800000000002</v>
      </c>
    </row>
    <row r="243" spans="1:10" x14ac:dyDescent="0.35">
      <c r="A243" s="3" t="s">
        <v>252</v>
      </c>
      <c r="B243" s="6">
        <v>43698</v>
      </c>
      <c r="C243" s="10" t="s">
        <v>589</v>
      </c>
      <c r="D243" s="3" t="s">
        <v>9</v>
      </c>
      <c r="E243" s="4">
        <v>19.98</v>
      </c>
      <c r="F243" s="3">
        <v>47</v>
      </c>
      <c r="G243" s="3">
        <f t="shared" si="9"/>
        <v>939.06000000000006</v>
      </c>
      <c r="H243" s="3">
        <f t="shared" si="10"/>
        <v>46.953000000000003</v>
      </c>
      <c r="I243" s="7">
        <v>5.77</v>
      </c>
      <c r="J243" s="5">
        <f t="shared" si="11"/>
        <v>886.3370000000001</v>
      </c>
    </row>
    <row r="244" spans="1:10" x14ac:dyDescent="0.35">
      <c r="A244" s="3" t="s">
        <v>253</v>
      </c>
      <c r="B244" s="6">
        <v>43697</v>
      </c>
      <c r="C244" s="10" t="s">
        <v>588</v>
      </c>
      <c r="D244" s="3" t="s">
        <v>9</v>
      </c>
      <c r="E244" s="4">
        <v>1.88</v>
      </c>
      <c r="F244" s="3">
        <v>36</v>
      </c>
      <c r="G244" s="3">
        <f t="shared" si="9"/>
        <v>67.679999999999993</v>
      </c>
      <c r="H244" s="3">
        <f t="shared" si="10"/>
        <v>3.3839999999999999</v>
      </c>
      <c r="I244" s="7">
        <v>0.79</v>
      </c>
      <c r="J244" s="5">
        <f t="shared" si="11"/>
        <v>63.505999999999993</v>
      </c>
    </row>
    <row r="245" spans="1:10" x14ac:dyDescent="0.35">
      <c r="A245" s="3" t="s">
        <v>254</v>
      </c>
      <c r="B245" s="6">
        <v>43696</v>
      </c>
      <c r="C245" s="10" t="s">
        <v>589</v>
      </c>
      <c r="D245" s="3" t="s">
        <v>9</v>
      </c>
      <c r="E245" s="4">
        <v>1.6</v>
      </c>
      <c r="F245" s="3">
        <v>40</v>
      </c>
      <c r="G245" s="3">
        <f t="shared" si="9"/>
        <v>64</v>
      </c>
      <c r="H245" s="3">
        <f t="shared" si="10"/>
        <v>3.2</v>
      </c>
      <c r="I245" s="7">
        <v>1.29</v>
      </c>
      <c r="J245" s="5">
        <f t="shared" si="11"/>
        <v>59.51</v>
      </c>
    </row>
    <row r="246" spans="1:10" x14ac:dyDescent="0.35">
      <c r="A246" s="3" t="s">
        <v>255</v>
      </c>
      <c r="B246" s="6">
        <v>43695</v>
      </c>
      <c r="C246" s="10" t="s">
        <v>588</v>
      </c>
      <c r="D246" s="3" t="s">
        <v>9</v>
      </c>
      <c r="E246" s="4">
        <v>34.76</v>
      </c>
      <c r="F246" s="3">
        <v>27</v>
      </c>
      <c r="G246" s="3">
        <f t="shared" si="9"/>
        <v>938.52</v>
      </c>
      <c r="H246" s="3">
        <f t="shared" si="10"/>
        <v>46.926000000000002</v>
      </c>
      <c r="I246" s="7">
        <v>8.2200000000000006</v>
      </c>
      <c r="J246" s="5">
        <f t="shared" si="11"/>
        <v>883.37399999999991</v>
      </c>
    </row>
    <row r="247" spans="1:10" x14ac:dyDescent="0.35">
      <c r="A247" s="3" t="s">
        <v>256</v>
      </c>
      <c r="B247" s="6">
        <v>43694</v>
      </c>
      <c r="C247" s="10" t="s">
        <v>589</v>
      </c>
      <c r="D247" s="3" t="s">
        <v>9</v>
      </c>
      <c r="E247" s="4">
        <v>19.98</v>
      </c>
      <c r="F247" s="3">
        <v>39</v>
      </c>
      <c r="G247" s="3">
        <f t="shared" si="9"/>
        <v>779.22</v>
      </c>
      <c r="H247" s="3">
        <f t="shared" si="10"/>
        <v>38.961000000000006</v>
      </c>
      <c r="I247" s="7">
        <v>4</v>
      </c>
      <c r="J247" s="5">
        <f t="shared" si="11"/>
        <v>736.25900000000001</v>
      </c>
    </row>
    <row r="248" spans="1:10" x14ac:dyDescent="0.35">
      <c r="A248" s="3" t="s">
        <v>257</v>
      </c>
      <c r="B248" s="6">
        <v>43693</v>
      </c>
      <c r="C248" s="10" t="s">
        <v>588</v>
      </c>
      <c r="D248" s="3" t="s">
        <v>9</v>
      </c>
      <c r="E248" s="4">
        <v>40.97</v>
      </c>
      <c r="F248" s="3">
        <v>14</v>
      </c>
      <c r="G248" s="3">
        <f t="shared" si="9"/>
        <v>573.57999999999993</v>
      </c>
      <c r="H248" s="3">
        <f t="shared" si="10"/>
        <v>28.678999999999998</v>
      </c>
      <c r="I248" s="7">
        <v>8.99</v>
      </c>
      <c r="J248" s="5">
        <f t="shared" si="11"/>
        <v>535.91099999999994</v>
      </c>
    </row>
    <row r="249" spans="1:10" x14ac:dyDescent="0.35">
      <c r="A249" s="3" t="s">
        <v>258</v>
      </c>
      <c r="B249" s="6">
        <v>43692</v>
      </c>
      <c r="C249" s="10" t="s">
        <v>589</v>
      </c>
      <c r="D249" s="3" t="s">
        <v>9</v>
      </c>
      <c r="E249" s="4">
        <v>95.99</v>
      </c>
      <c r="F249" s="3">
        <v>40</v>
      </c>
      <c r="G249" s="3">
        <f t="shared" si="9"/>
        <v>3839.6</v>
      </c>
      <c r="H249" s="3">
        <f t="shared" si="10"/>
        <v>191.98000000000002</v>
      </c>
      <c r="I249" s="7">
        <v>8.99</v>
      </c>
      <c r="J249" s="5">
        <f t="shared" si="11"/>
        <v>3638.63</v>
      </c>
    </row>
    <row r="250" spans="1:10" x14ac:dyDescent="0.35">
      <c r="A250" s="3" t="s">
        <v>259</v>
      </c>
      <c r="B250" s="6">
        <v>43691</v>
      </c>
      <c r="C250" s="10" t="s">
        <v>588</v>
      </c>
      <c r="D250" s="3" t="s">
        <v>27</v>
      </c>
      <c r="E250" s="4">
        <v>6.23</v>
      </c>
      <c r="F250" s="3">
        <v>33</v>
      </c>
      <c r="G250" s="3">
        <f t="shared" si="9"/>
        <v>205.59</v>
      </c>
      <c r="H250" s="3">
        <f t="shared" si="10"/>
        <v>10.279500000000001</v>
      </c>
      <c r="I250" s="7">
        <v>6.97</v>
      </c>
      <c r="J250" s="5">
        <f t="shared" si="11"/>
        <v>188.34049999999999</v>
      </c>
    </row>
    <row r="251" spans="1:10" x14ac:dyDescent="0.35">
      <c r="A251" s="3" t="s">
        <v>260</v>
      </c>
      <c r="B251" s="6">
        <v>43690</v>
      </c>
      <c r="C251" s="10" t="s">
        <v>589</v>
      </c>
      <c r="D251" s="3" t="s">
        <v>9</v>
      </c>
      <c r="E251" s="4">
        <v>1.6</v>
      </c>
      <c r="F251" s="3">
        <v>43</v>
      </c>
      <c r="G251" s="3">
        <f t="shared" si="9"/>
        <v>68.8</v>
      </c>
      <c r="H251" s="3">
        <f t="shared" si="10"/>
        <v>3.44</v>
      </c>
      <c r="I251" s="7">
        <v>1.29</v>
      </c>
      <c r="J251" s="5">
        <f t="shared" si="11"/>
        <v>64.069999999999993</v>
      </c>
    </row>
    <row r="252" spans="1:10" x14ac:dyDescent="0.35">
      <c r="A252" s="3" t="s">
        <v>261</v>
      </c>
      <c r="B252" s="6">
        <v>43689</v>
      </c>
      <c r="C252" s="10" t="s">
        <v>588</v>
      </c>
      <c r="D252" s="3" t="s">
        <v>9</v>
      </c>
      <c r="E252" s="4">
        <v>5.84</v>
      </c>
      <c r="F252" s="3">
        <v>19</v>
      </c>
      <c r="G252" s="3">
        <f t="shared" si="9"/>
        <v>110.96</v>
      </c>
      <c r="H252" s="3">
        <f t="shared" si="10"/>
        <v>5.548</v>
      </c>
      <c r="I252" s="7">
        <v>0.83</v>
      </c>
      <c r="J252" s="5">
        <f t="shared" si="11"/>
        <v>104.58199999999999</v>
      </c>
    </row>
    <row r="253" spans="1:10" x14ac:dyDescent="0.35">
      <c r="A253" s="3" t="s">
        <v>262</v>
      </c>
      <c r="B253" s="6">
        <v>43688</v>
      </c>
      <c r="C253" s="10" t="s">
        <v>589</v>
      </c>
      <c r="D253" s="3" t="s">
        <v>9</v>
      </c>
      <c r="E253" s="4">
        <v>35.44</v>
      </c>
      <c r="F253" s="3">
        <v>48</v>
      </c>
      <c r="G253" s="3">
        <f t="shared" si="9"/>
        <v>1701.12</v>
      </c>
      <c r="H253" s="3">
        <f t="shared" si="10"/>
        <v>85.055999999999997</v>
      </c>
      <c r="I253" s="7">
        <v>4.92</v>
      </c>
      <c r="J253" s="5">
        <f t="shared" si="11"/>
        <v>1611.1439999999998</v>
      </c>
    </row>
    <row r="254" spans="1:10" x14ac:dyDescent="0.35">
      <c r="A254" s="3" t="s">
        <v>263</v>
      </c>
      <c r="B254" s="6">
        <v>43687</v>
      </c>
      <c r="C254" s="10" t="s">
        <v>587</v>
      </c>
      <c r="D254" s="3" t="s">
        <v>19</v>
      </c>
      <c r="E254" s="4">
        <v>449.99</v>
      </c>
      <c r="F254" s="3">
        <v>38</v>
      </c>
      <c r="G254" s="3">
        <f t="shared" si="9"/>
        <v>17099.62</v>
      </c>
      <c r="H254" s="3">
        <f t="shared" si="10"/>
        <v>854.98099999999999</v>
      </c>
      <c r="I254" s="7">
        <v>49</v>
      </c>
      <c r="J254" s="5">
        <f t="shared" si="11"/>
        <v>16195.638999999999</v>
      </c>
    </row>
    <row r="255" spans="1:10" x14ac:dyDescent="0.35">
      <c r="A255" s="3" t="s">
        <v>264</v>
      </c>
      <c r="B255" s="6">
        <v>43686</v>
      </c>
      <c r="C255" s="10" t="s">
        <v>589</v>
      </c>
      <c r="D255" s="3" t="s">
        <v>9</v>
      </c>
      <c r="E255" s="4">
        <v>29.99</v>
      </c>
      <c r="F255" s="3">
        <v>11</v>
      </c>
      <c r="G255" s="3">
        <f t="shared" si="9"/>
        <v>329.89</v>
      </c>
      <c r="H255" s="3">
        <f t="shared" si="10"/>
        <v>16.494499999999999</v>
      </c>
      <c r="I255" s="7">
        <v>5.5</v>
      </c>
      <c r="J255" s="5">
        <f t="shared" si="11"/>
        <v>307.89549999999997</v>
      </c>
    </row>
    <row r="256" spans="1:10" x14ac:dyDescent="0.35">
      <c r="A256" s="3" t="s">
        <v>265</v>
      </c>
      <c r="B256" s="6">
        <v>43685</v>
      </c>
      <c r="C256" s="10" t="s">
        <v>587</v>
      </c>
      <c r="D256" s="3" t="s">
        <v>9</v>
      </c>
      <c r="E256" s="4">
        <v>2.62</v>
      </c>
      <c r="F256" s="3">
        <v>48</v>
      </c>
      <c r="G256" s="3">
        <f t="shared" si="9"/>
        <v>125.76</v>
      </c>
      <c r="H256" s="3">
        <f t="shared" si="10"/>
        <v>6.2880000000000003</v>
      </c>
      <c r="I256" s="7">
        <v>0.8</v>
      </c>
      <c r="J256" s="5">
        <f t="shared" si="11"/>
        <v>118.67200000000001</v>
      </c>
    </row>
    <row r="257" spans="1:10" x14ac:dyDescent="0.35">
      <c r="A257" s="3" t="s">
        <v>266</v>
      </c>
      <c r="B257" s="6">
        <v>43684</v>
      </c>
      <c r="C257" s="10" t="s">
        <v>589</v>
      </c>
      <c r="D257" s="3" t="s">
        <v>9</v>
      </c>
      <c r="E257" s="4">
        <v>7.3</v>
      </c>
      <c r="F257" s="3">
        <v>36</v>
      </c>
      <c r="G257" s="3">
        <f t="shared" si="9"/>
        <v>262.8</v>
      </c>
      <c r="H257" s="3">
        <f t="shared" si="10"/>
        <v>13.14</v>
      </c>
      <c r="I257" s="7">
        <v>7.72</v>
      </c>
      <c r="J257" s="5">
        <f t="shared" si="11"/>
        <v>241.94000000000003</v>
      </c>
    </row>
    <row r="258" spans="1:10" x14ac:dyDescent="0.35">
      <c r="A258" s="3" t="s">
        <v>267</v>
      </c>
      <c r="B258" s="6">
        <v>43683</v>
      </c>
      <c r="C258" s="10" t="s">
        <v>588</v>
      </c>
      <c r="D258" s="3" t="s">
        <v>9</v>
      </c>
      <c r="E258" s="4">
        <v>3.98</v>
      </c>
      <c r="F258" s="3">
        <v>11</v>
      </c>
      <c r="G258" s="3">
        <f t="shared" si="9"/>
        <v>43.78</v>
      </c>
      <c r="H258" s="3">
        <f t="shared" si="10"/>
        <v>2.1890000000000001</v>
      </c>
      <c r="I258" s="7">
        <v>2.97</v>
      </c>
      <c r="J258" s="5">
        <f t="shared" si="11"/>
        <v>38.621000000000002</v>
      </c>
    </row>
    <row r="259" spans="1:10" x14ac:dyDescent="0.35">
      <c r="A259" s="3" t="s">
        <v>268</v>
      </c>
      <c r="B259" s="6">
        <v>43682</v>
      </c>
      <c r="C259" s="10" t="s">
        <v>589</v>
      </c>
      <c r="D259" s="3" t="s">
        <v>9</v>
      </c>
      <c r="E259" s="4">
        <v>12.22</v>
      </c>
      <c r="F259" s="3">
        <v>10</v>
      </c>
      <c r="G259" s="3">
        <f t="shared" ref="G259:G322" si="12">E259*F259</f>
        <v>122.2</v>
      </c>
      <c r="H259" s="3">
        <f t="shared" ref="H259:H322" si="13">G259*5%</f>
        <v>6.11</v>
      </c>
      <c r="I259" s="7">
        <v>2.85</v>
      </c>
      <c r="J259" s="5">
        <f t="shared" ref="J259:J322" si="14">G259-H259-I259</f>
        <v>113.24000000000001</v>
      </c>
    </row>
    <row r="260" spans="1:10" x14ac:dyDescent="0.35">
      <c r="A260" s="3" t="s">
        <v>269</v>
      </c>
      <c r="B260" s="6">
        <v>43681</v>
      </c>
      <c r="C260" s="10" t="s">
        <v>587</v>
      </c>
      <c r="D260" s="3" t="s">
        <v>27</v>
      </c>
      <c r="E260" s="4">
        <v>10.23</v>
      </c>
      <c r="F260" s="3">
        <v>19</v>
      </c>
      <c r="G260" s="3">
        <f t="shared" si="12"/>
        <v>194.37</v>
      </c>
      <c r="H260" s="3">
        <f t="shared" si="13"/>
        <v>9.7185000000000006</v>
      </c>
      <c r="I260" s="7">
        <v>4.68</v>
      </c>
      <c r="J260" s="5">
        <f t="shared" si="14"/>
        <v>179.97149999999999</v>
      </c>
    </row>
    <row r="261" spans="1:10" x14ac:dyDescent="0.35">
      <c r="A261" s="3" t="s">
        <v>270</v>
      </c>
      <c r="B261" s="6">
        <v>43680</v>
      </c>
      <c r="C261" s="10" t="s">
        <v>589</v>
      </c>
      <c r="D261" s="3" t="s">
        <v>9</v>
      </c>
      <c r="E261" s="4">
        <v>4.76</v>
      </c>
      <c r="F261" s="3">
        <v>33</v>
      </c>
      <c r="G261" s="3">
        <f t="shared" si="12"/>
        <v>157.07999999999998</v>
      </c>
      <c r="H261" s="3">
        <f t="shared" si="13"/>
        <v>7.8539999999999992</v>
      </c>
      <c r="I261" s="7">
        <v>0.88</v>
      </c>
      <c r="J261" s="5">
        <f t="shared" si="14"/>
        <v>148.346</v>
      </c>
    </row>
    <row r="262" spans="1:10" x14ac:dyDescent="0.35">
      <c r="A262" s="3" t="s">
        <v>271</v>
      </c>
      <c r="B262" s="6">
        <v>43679</v>
      </c>
      <c r="C262" s="10" t="s">
        <v>587</v>
      </c>
      <c r="D262" s="3" t="s">
        <v>9</v>
      </c>
      <c r="E262" s="4">
        <v>9.85</v>
      </c>
      <c r="F262" s="3">
        <v>48</v>
      </c>
      <c r="G262" s="3">
        <f t="shared" si="12"/>
        <v>472.79999999999995</v>
      </c>
      <c r="H262" s="3">
        <f t="shared" si="13"/>
        <v>23.64</v>
      </c>
      <c r="I262" s="7">
        <v>4.82</v>
      </c>
      <c r="J262" s="5">
        <f t="shared" si="14"/>
        <v>444.34</v>
      </c>
    </row>
    <row r="263" spans="1:10" x14ac:dyDescent="0.35">
      <c r="A263" s="3" t="s">
        <v>272</v>
      </c>
      <c r="B263" s="6">
        <v>43678</v>
      </c>
      <c r="C263" s="10" t="s">
        <v>587</v>
      </c>
      <c r="D263" s="3" t="s">
        <v>9</v>
      </c>
      <c r="E263" s="4">
        <v>2.94</v>
      </c>
      <c r="F263" s="3">
        <v>18</v>
      </c>
      <c r="G263" s="3">
        <f t="shared" si="12"/>
        <v>52.92</v>
      </c>
      <c r="H263" s="3">
        <f t="shared" si="13"/>
        <v>2.6460000000000004</v>
      </c>
      <c r="I263" s="7">
        <v>0.81</v>
      </c>
      <c r="J263" s="5">
        <f t="shared" si="14"/>
        <v>49.463999999999999</v>
      </c>
    </row>
    <row r="264" spans="1:10" x14ac:dyDescent="0.35">
      <c r="A264" s="3" t="s">
        <v>273</v>
      </c>
      <c r="B264" s="6">
        <v>43677</v>
      </c>
      <c r="C264" s="10" t="s">
        <v>588</v>
      </c>
      <c r="D264" s="3" t="s">
        <v>19</v>
      </c>
      <c r="E264" s="4">
        <v>95.99</v>
      </c>
      <c r="F264" s="3">
        <v>14</v>
      </c>
      <c r="G264" s="3">
        <f t="shared" si="12"/>
        <v>1343.86</v>
      </c>
      <c r="H264" s="3">
        <f t="shared" si="13"/>
        <v>67.192999999999998</v>
      </c>
      <c r="I264" s="7">
        <v>8.99</v>
      </c>
      <c r="J264" s="5">
        <f t="shared" si="14"/>
        <v>1267.6769999999999</v>
      </c>
    </row>
    <row r="265" spans="1:10" x14ac:dyDescent="0.35">
      <c r="A265" s="3" t="s">
        <v>274</v>
      </c>
      <c r="B265" s="6">
        <v>43676</v>
      </c>
      <c r="C265" s="10" t="s">
        <v>587</v>
      </c>
      <c r="D265" s="3" t="s">
        <v>19</v>
      </c>
      <c r="E265" s="4">
        <v>162.93</v>
      </c>
      <c r="F265" s="3">
        <v>22</v>
      </c>
      <c r="G265" s="3">
        <f t="shared" si="12"/>
        <v>3584.46</v>
      </c>
      <c r="H265" s="3">
        <f t="shared" si="13"/>
        <v>179.22300000000001</v>
      </c>
      <c r="I265" s="7">
        <v>19.989999999999998</v>
      </c>
      <c r="J265" s="5">
        <f t="shared" si="14"/>
        <v>3385.2470000000003</v>
      </c>
    </row>
    <row r="266" spans="1:10" x14ac:dyDescent="0.35">
      <c r="A266" s="3" t="s">
        <v>275</v>
      </c>
      <c r="B266" s="6">
        <v>43675</v>
      </c>
      <c r="C266" s="10" t="s">
        <v>589</v>
      </c>
      <c r="D266" s="3" t="s">
        <v>19</v>
      </c>
      <c r="E266" s="4">
        <v>19.84</v>
      </c>
      <c r="F266" s="3">
        <v>10</v>
      </c>
      <c r="G266" s="3">
        <f t="shared" si="12"/>
        <v>198.4</v>
      </c>
      <c r="H266" s="3">
        <f t="shared" si="13"/>
        <v>9.9200000000000017</v>
      </c>
      <c r="I266" s="7">
        <v>4.0999999999999996</v>
      </c>
      <c r="J266" s="5">
        <f t="shared" si="14"/>
        <v>184.38000000000002</v>
      </c>
    </row>
    <row r="267" spans="1:10" x14ac:dyDescent="0.35">
      <c r="A267" s="3" t="s">
        <v>276</v>
      </c>
      <c r="B267" s="6">
        <v>43674</v>
      </c>
      <c r="C267" s="10" t="s">
        <v>587</v>
      </c>
      <c r="D267" s="3" t="s">
        <v>19</v>
      </c>
      <c r="E267" s="4">
        <v>3.98</v>
      </c>
      <c r="F267" s="3">
        <v>50</v>
      </c>
      <c r="G267" s="3">
        <f t="shared" si="12"/>
        <v>199</v>
      </c>
      <c r="H267" s="3">
        <f t="shared" si="13"/>
        <v>9.9500000000000011</v>
      </c>
      <c r="I267" s="7">
        <v>2.97</v>
      </c>
      <c r="J267" s="5">
        <f t="shared" si="14"/>
        <v>186.08</v>
      </c>
    </row>
    <row r="268" spans="1:10" x14ac:dyDescent="0.35">
      <c r="A268" s="3" t="s">
        <v>277</v>
      </c>
      <c r="B268" s="6">
        <v>43673</v>
      </c>
      <c r="C268" s="10" t="s">
        <v>589</v>
      </c>
      <c r="D268" s="3" t="s">
        <v>19</v>
      </c>
      <c r="E268" s="4">
        <v>36.549999999999997</v>
      </c>
      <c r="F268" s="3">
        <v>6</v>
      </c>
      <c r="G268" s="3">
        <f t="shared" si="12"/>
        <v>219.29999999999998</v>
      </c>
      <c r="H268" s="3">
        <f t="shared" si="13"/>
        <v>10.965</v>
      </c>
      <c r="I268" s="7">
        <v>13.89</v>
      </c>
      <c r="J268" s="5">
        <f t="shared" si="14"/>
        <v>194.44499999999999</v>
      </c>
    </row>
    <row r="269" spans="1:10" x14ac:dyDescent="0.35">
      <c r="A269" s="3" t="s">
        <v>278</v>
      </c>
      <c r="B269" s="6">
        <v>43672</v>
      </c>
      <c r="C269" s="10" t="s">
        <v>587</v>
      </c>
      <c r="D269" s="3" t="s">
        <v>19</v>
      </c>
      <c r="E269" s="4">
        <v>40.97</v>
      </c>
      <c r="F269" s="3">
        <v>49</v>
      </c>
      <c r="G269" s="3">
        <f t="shared" si="12"/>
        <v>2007.53</v>
      </c>
      <c r="H269" s="3">
        <f t="shared" si="13"/>
        <v>100.37650000000001</v>
      </c>
      <c r="I269" s="7">
        <v>8.99</v>
      </c>
      <c r="J269" s="5">
        <f t="shared" si="14"/>
        <v>1898.1634999999999</v>
      </c>
    </row>
    <row r="270" spans="1:10" x14ac:dyDescent="0.35">
      <c r="A270" s="3" t="s">
        <v>279</v>
      </c>
      <c r="B270" s="6">
        <v>43671</v>
      </c>
      <c r="C270" s="10" t="s">
        <v>589</v>
      </c>
      <c r="D270" s="3" t="s">
        <v>19</v>
      </c>
      <c r="E270" s="4">
        <v>6.08</v>
      </c>
      <c r="F270" s="3">
        <v>42</v>
      </c>
      <c r="G270" s="3">
        <f t="shared" si="12"/>
        <v>255.36</v>
      </c>
      <c r="H270" s="3">
        <f t="shared" si="13"/>
        <v>12.768000000000001</v>
      </c>
      <c r="I270" s="7">
        <v>1.82</v>
      </c>
      <c r="J270" s="5">
        <f t="shared" si="14"/>
        <v>240.77200000000002</v>
      </c>
    </row>
    <row r="271" spans="1:10" x14ac:dyDescent="0.35">
      <c r="A271" s="3" t="s">
        <v>280</v>
      </c>
      <c r="B271" s="6">
        <v>43670</v>
      </c>
      <c r="C271" s="10" t="s">
        <v>588</v>
      </c>
      <c r="D271" s="3" t="s">
        <v>19</v>
      </c>
      <c r="E271" s="4">
        <v>1.98</v>
      </c>
      <c r="F271" s="3">
        <v>12</v>
      </c>
      <c r="G271" s="3">
        <f t="shared" si="12"/>
        <v>23.759999999999998</v>
      </c>
      <c r="H271" s="3">
        <f t="shared" si="13"/>
        <v>1.1879999999999999</v>
      </c>
      <c r="I271" s="7">
        <v>4.7699999999999996</v>
      </c>
      <c r="J271" s="5">
        <f t="shared" si="14"/>
        <v>17.802</v>
      </c>
    </row>
    <row r="272" spans="1:10" x14ac:dyDescent="0.35">
      <c r="A272" s="3" t="s">
        <v>281</v>
      </c>
      <c r="B272" s="6">
        <v>43669</v>
      </c>
      <c r="C272" s="10" t="s">
        <v>589</v>
      </c>
      <c r="D272" s="3" t="s">
        <v>19</v>
      </c>
      <c r="E272" s="4">
        <v>2.78</v>
      </c>
      <c r="F272" s="3">
        <v>38</v>
      </c>
      <c r="G272" s="3">
        <f t="shared" si="12"/>
        <v>105.63999999999999</v>
      </c>
      <c r="H272" s="3">
        <f t="shared" si="13"/>
        <v>5.282</v>
      </c>
      <c r="I272" s="7">
        <v>1.34</v>
      </c>
      <c r="J272" s="5">
        <f t="shared" si="14"/>
        <v>99.017999999999986</v>
      </c>
    </row>
    <row r="273" spans="1:10" x14ac:dyDescent="0.35">
      <c r="A273" s="3" t="s">
        <v>282</v>
      </c>
      <c r="B273" s="6">
        <v>43668</v>
      </c>
      <c r="C273" s="10" t="s">
        <v>587</v>
      </c>
      <c r="D273" s="3" t="s">
        <v>19</v>
      </c>
      <c r="E273" s="4">
        <v>152.47999999999999</v>
      </c>
      <c r="F273" s="3">
        <v>27</v>
      </c>
      <c r="G273" s="3">
        <f t="shared" si="12"/>
        <v>4116.96</v>
      </c>
      <c r="H273" s="3">
        <f t="shared" si="13"/>
        <v>205.84800000000001</v>
      </c>
      <c r="I273" s="7">
        <v>6.5</v>
      </c>
      <c r="J273" s="5">
        <f t="shared" si="14"/>
        <v>3904.6120000000001</v>
      </c>
    </row>
    <row r="274" spans="1:10" x14ac:dyDescent="0.35">
      <c r="A274" s="3" t="s">
        <v>283</v>
      </c>
      <c r="B274" s="6">
        <v>43667</v>
      </c>
      <c r="C274" s="10" t="s">
        <v>589</v>
      </c>
      <c r="D274" s="3" t="s">
        <v>19</v>
      </c>
      <c r="E274" s="4">
        <v>3.98</v>
      </c>
      <c r="F274" s="3">
        <v>41</v>
      </c>
      <c r="G274" s="3">
        <f t="shared" si="12"/>
        <v>163.18</v>
      </c>
      <c r="H274" s="3">
        <f t="shared" si="13"/>
        <v>8.1590000000000007</v>
      </c>
      <c r="I274" s="7">
        <v>2.97</v>
      </c>
      <c r="J274" s="5">
        <f t="shared" si="14"/>
        <v>152.05100000000002</v>
      </c>
    </row>
    <row r="275" spans="1:10" x14ac:dyDescent="0.35">
      <c r="A275" s="3" t="s">
        <v>284</v>
      </c>
      <c r="B275" s="6">
        <v>43666</v>
      </c>
      <c r="C275" s="10" t="s">
        <v>587</v>
      </c>
      <c r="D275" s="3" t="s">
        <v>19</v>
      </c>
      <c r="E275" s="4">
        <v>3.71</v>
      </c>
      <c r="F275" s="3">
        <v>16</v>
      </c>
      <c r="G275" s="3">
        <f t="shared" si="12"/>
        <v>59.36</v>
      </c>
      <c r="H275" s="3">
        <f t="shared" si="13"/>
        <v>2.968</v>
      </c>
      <c r="I275" s="7">
        <v>1.93</v>
      </c>
      <c r="J275" s="5">
        <f t="shared" si="14"/>
        <v>54.461999999999996</v>
      </c>
    </row>
    <row r="276" spans="1:10" x14ac:dyDescent="0.35">
      <c r="A276" s="3" t="s">
        <v>285</v>
      </c>
      <c r="B276" s="6">
        <v>43665</v>
      </c>
      <c r="C276" s="10" t="s">
        <v>589</v>
      </c>
      <c r="D276" s="3" t="s">
        <v>19</v>
      </c>
      <c r="E276" s="4">
        <v>12.98</v>
      </c>
      <c r="F276" s="3">
        <v>50</v>
      </c>
      <c r="G276" s="3">
        <f t="shared" si="12"/>
        <v>649</v>
      </c>
      <c r="H276" s="3">
        <f t="shared" si="13"/>
        <v>32.450000000000003</v>
      </c>
      <c r="I276" s="7">
        <v>3.14</v>
      </c>
      <c r="J276" s="5">
        <f t="shared" si="14"/>
        <v>613.41</v>
      </c>
    </row>
    <row r="277" spans="1:10" x14ac:dyDescent="0.35">
      <c r="A277" s="3" t="s">
        <v>286</v>
      </c>
      <c r="B277" s="6">
        <v>43664</v>
      </c>
      <c r="C277" s="10" t="s">
        <v>588</v>
      </c>
      <c r="D277" s="3" t="s">
        <v>19</v>
      </c>
      <c r="E277" s="4">
        <v>10.89</v>
      </c>
      <c r="F277" s="3">
        <v>25</v>
      </c>
      <c r="G277" s="3">
        <f t="shared" si="12"/>
        <v>272.25</v>
      </c>
      <c r="H277" s="3">
        <f t="shared" si="13"/>
        <v>13.612500000000001</v>
      </c>
      <c r="I277" s="7">
        <v>4.5</v>
      </c>
      <c r="J277" s="5">
        <f t="shared" si="14"/>
        <v>254.13749999999999</v>
      </c>
    </row>
    <row r="278" spans="1:10" x14ac:dyDescent="0.35">
      <c r="A278" s="3" t="s">
        <v>287</v>
      </c>
      <c r="B278" s="6">
        <v>43663</v>
      </c>
      <c r="C278" s="10" t="s">
        <v>589</v>
      </c>
      <c r="D278" s="3" t="s">
        <v>19</v>
      </c>
      <c r="E278" s="4">
        <v>2.08</v>
      </c>
      <c r="F278" s="3">
        <v>33</v>
      </c>
      <c r="G278" s="3">
        <f t="shared" si="12"/>
        <v>68.64</v>
      </c>
      <c r="H278" s="3">
        <f t="shared" si="13"/>
        <v>3.4320000000000004</v>
      </c>
      <c r="I278" s="7">
        <v>2.56</v>
      </c>
      <c r="J278" s="5">
        <f t="shared" si="14"/>
        <v>62.647999999999996</v>
      </c>
    </row>
    <row r="279" spans="1:10" x14ac:dyDescent="0.35">
      <c r="A279" s="3" t="s">
        <v>288</v>
      </c>
      <c r="B279" s="6">
        <v>43662</v>
      </c>
      <c r="C279" s="10" t="s">
        <v>8</v>
      </c>
      <c r="D279" s="3" t="s">
        <v>19</v>
      </c>
      <c r="E279" s="4">
        <v>300.97000000000003</v>
      </c>
      <c r="F279" s="3">
        <v>43</v>
      </c>
      <c r="G279" s="3">
        <f t="shared" si="12"/>
        <v>12941.710000000001</v>
      </c>
      <c r="H279" s="3">
        <f t="shared" si="13"/>
        <v>647.08550000000014</v>
      </c>
      <c r="I279" s="7">
        <v>7.18</v>
      </c>
      <c r="J279" s="5">
        <f t="shared" si="14"/>
        <v>12287.444500000001</v>
      </c>
    </row>
    <row r="280" spans="1:10" x14ac:dyDescent="0.35">
      <c r="A280" s="3" t="s">
        <v>289</v>
      </c>
      <c r="B280" s="6">
        <v>43661</v>
      </c>
      <c r="C280" s="10" t="s">
        <v>589</v>
      </c>
      <c r="D280" s="3" t="s">
        <v>19</v>
      </c>
      <c r="E280" s="4">
        <v>15.98</v>
      </c>
      <c r="F280" s="3">
        <v>4</v>
      </c>
      <c r="G280" s="3">
        <f t="shared" si="12"/>
        <v>63.92</v>
      </c>
      <c r="H280" s="3">
        <f t="shared" si="13"/>
        <v>3.1960000000000002</v>
      </c>
      <c r="I280" s="7">
        <v>6.5</v>
      </c>
      <c r="J280" s="5">
        <f t="shared" si="14"/>
        <v>54.224000000000004</v>
      </c>
    </row>
    <row r="281" spans="1:10" x14ac:dyDescent="0.35">
      <c r="A281" s="3" t="s">
        <v>290</v>
      </c>
      <c r="B281" s="6">
        <v>43660</v>
      </c>
      <c r="C281" s="10" t="s">
        <v>8</v>
      </c>
      <c r="D281" s="3" t="s">
        <v>19</v>
      </c>
      <c r="E281" s="4">
        <v>8.1199999999999992</v>
      </c>
      <c r="F281" s="3">
        <v>36</v>
      </c>
      <c r="G281" s="3">
        <f t="shared" si="12"/>
        <v>292.32</v>
      </c>
      <c r="H281" s="3">
        <f t="shared" si="13"/>
        <v>14.616</v>
      </c>
      <c r="I281" s="7">
        <v>2.83</v>
      </c>
      <c r="J281" s="5">
        <f t="shared" si="14"/>
        <v>274.87400000000002</v>
      </c>
    </row>
    <row r="282" spans="1:10" x14ac:dyDescent="0.35">
      <c r="A282" s="3" t="s">
        <v>291</v>
      </c>
      <c r="B282" s="6">
        <v>43659</v>
      </c>
      <c r="C282" s="10" t="s">
        <v>589</v>
      </c>
      <c r="D282" s="3" t="s">
        <v>19</v>
      </c>
      <c r="E282" s="4">
        <v>11.97</v>
      </c>
      <c r="F282" s="3">
        <v>28</v>
      </c>
      <c r="G282" s="3">
        <f t="shared" si="12"/>
        <v>335.16</v>
      </c>
      <c r="H282" s="3">
        <f t="shared" si="13"/>
        <v>16.758000000000003</v>
      </c>
      <c r="I282" s="7">
        <v>5.81</v>
      </c>
      <c r="J282" s="5">
        <f t="shared" si="14"/>
        <v>312.59200000000004</v>
      </c>
    </row>
    <row r="283" spans="1:10" x14ac:dyDescent="0.35">
      <c r="A283" s="3" t="s">
        <v>292</v>
      </c>
      <c r="B283" s="6">
        <v>43658</v>
      </c>
      <c r="C283" s="10" t="s">
        <v>588</v>
      </c>
      <c r="D283" s="3" t="s">
        <v>19</v>
      </c>
      <c r="E283" s="4">
        <v>20.98</v>
      </c>
      <c r="F283" s="3">
        <v>34</v>
      </c>
      <c r="G283" s="3">
        <f t="shared" si="12"/>
        <v>713.32</v>
      </c>
      <c r="H283" s="3">
        <f t="shared" si="13"/>
        <v>35.666000000000004</v>
      </c>
      <c r="I283" s="7">
        <v>1.49</v>
      </c>
      <c r="J283" s="5">
        <f t="shared" si="14"/>
        <v>676.16399999999999</v>
      </c>
    </row>
    <row r="284" spans="1:10" x14ac:dyDescent="0.35">
      <c r="A284" s="3" t="s">
        <v>293</v>
      </c>
      <c r="B284" s="6">
        <v>43657</v>
      </c>
      <c r="C284" s="10" t="s">
        <v>589</v>
      </c>
      <c r="D284" s="3" t="s">
        <v>19</v>
      </c>
      <c r="E284" s="4">
        <v>6.68</v>
      </c>
      <c r="F284" s="3">
        <v>10</v>
      </c>
      <c r="G284" s="3">
        <f t="shared" si="12"/>
        <v>66.8</v>
      </c>
      <c r="H284" s="3">
        <f t="shared" si="13"/>
        <v>3.34</v>
      </c>
      <c r="I284" s="7">
        <v>1.5</v>
      </c>
      <c r="J284" s="5">
        <f t="shared" si="14"/>
        <v>61.959999999999994</v>
      </c>
    </row>
    <row r="285" spans="1:10" x14ac:dyDescent="0.35">
      <c r="A285" s="3" t="s">
        <v>294</v>
      </c>
      <c r="B285" s="6">
        <v>43656</v>
      </c>
      <c r="C285" s="10" t="s">
        <v>8</v>
      </c>
      <c r="D285" s="3" t="s">
        <v>19</v>
      </c>
      <c r="E285" s="4">
        <v>29.99</v>
      </c>
      <c r="F285" s="3">
        <v>14</v>
      </c>
      <c r="G285" s="3">
        <f t="shared" si="12"/>
        <v>419.85999999999996</v>
      </c>
      <c r="H285" s="3">
        <f t="shared" si="13"/>
        <v>20.992999999999999</v>
      </c>
      <c r="I285" s="7">
        <v>5.5</v>
      </c>
      <c r="J285" s="5">
        <f t="shared" si="14"/>
        <v>393.36699999999996</v>
      </c>
    </row>
    <row r="286" spans="1:10" x14ac:dyDescent="0.35">
      <c r="A286" s="3" t="s">
        <v>295</v>
      </c>
      <c r="B286" s="6">
        <v>43655</v>
      </c>
      <c r="C286" s="10" t="s">
        <v>589</v>
      </c>
      <c r="D286" s="3" t="s">
        <v>19</v>
      </c>
      <c r="E286" s="4">
        <v>7.3</v>
      </c>
      <c r="F286" s="3">
        <v>38</v>
      </c>
      <c r="G286" s="3">
        <f t="shared" si="12"/>
        <v>277.39999999999998</v>
      </c>
      <c r="H286" s="3">
        <f t="shared" si="13"/>
        <v>13.87</v>
      </c>
      <c r="I286" s="7">
        <v>7.72</v>
      </c>
      <c r="J286" s="5">
        <f t="shared" si="14"/>
        <v>255.80999999999997</v>
      </c>
    </row>
    <row r="287" spans="1:10" x14ac:dyDescent="0.35">
      <c r="A287" s="3" t="s">
        <v>296</v>
      </c>
      <c r="B287" s="6">
        <v>43654</v>
      </c>
      <c r="C287" s="10" t="s">
        <v>8</v>
      </c>
      <c r="D287" s="3" t="s">
        <v>19</v>
      </c>
      <c r="E287" s="4">
        <v>3.69</v>
      </c>
      <c r="F287" s="3">
        <v>41</v>
      </c>
      <c r="G287" s="3">
        <f t="shared" si="12"/>
        <v>151.29</v>
      </c>
      <c r="H287" s="3">
        <f t="shared" si="13"/>
        <v>7.5644999999999998</v>
      </c>
      <c r="I287" s="7">
        <v>0.5</v>
      </c>
      <c r="J287" s="5">
        <f t="shared" si="14"/>
        <v>143.22549999999998</v>
      </c>
    </row>
    <row r="288" spans="1:10" x14ac:dyDescent="0.35">
      <c r="A288" s="3" t="s">
        <v>296</v>
      </c>
      <c r="B288" s="6">
        <v>43653</v>
      </c>
      <c r="C288" s="10" t="s">
        <v>588</v>
      </c>
      <c r="D288" s="3" t="s">
        <v>19</v>
      </c>
      <c r="E288" s="4">
        <v>9.11</v>
      </c>
      <c r="F288" s="3">
        <v>21</v>
      </c>
      <c r="G288" s="3">
        <f t="shared" si="12"/>
        <v>191.31</v>
      </c>
      <c r="H288" s="3">
        <f t="shared" si="13"/>
        <v>9.5655000000000001</v>
      </c>
      <c r="I288" s="7">
        <v>2.25</v>
      </c>
      <c r="J288" s="5">
        <f t="shared" si="14"/>
        <v>179.49450000000002</v>
      </c>
    </row>
    <row r="289" spans="1:10" x14ac:dyDescent="0.35">
      <c r="A289" s="3" t="s">
        <v>297</v>
      </c>
      <c r="B289" s="6">
        <v>43652</v>
      </c>
      <c r="C289" s="10" t="s">
        <v>589</v>
      </c>
      <c r="D289" s="3" t="s">
        <v>19</v>
      </c>
      <c r="E289" s="4">
        <v>20.99</v>
      </c>
      <c r="F289" s="3">
        <v>30</v>
      </c>
      <c r="G289" s="3">
        <f t="shared" si="12"/>
        <v>629.69999999999993</v>
      </c>
      <c r="H289" s="3">
        <f t="shared" si="13"/>
        <v>31.484999999999999</v>
      </c>
      <c r="I289" s="7">
        <v>4.8099999999999996</v>
      </c>
      <c r="J289" s="5">
        <f t="shared" si="14"/>
        <v>593.40499999999997</v>
      </c>
    </row>
    <row r="290" spans="1:10" x14ac:dyDescent="0.35">
      <c r="A290" s="3" t="s">
        <v>298</v>
      </c>
      <c r="B290" s="6">
        <v>43651</v>
      </c>
      <c r="C290" s="10" t="s">
        <v>588</v>
      </c>
      <c r="D290" s="3" t="s">
        <v>19</v>
      </c>
      <c r="E290" s="4">
        <v>1.88</v>
      </c>
      <c r="F290" s="3">
        <v>1</v>
      </c>
      <c r="G290" s="3">
        <f t="shared" si="12"/>
        <v>1.88</v>
      </c>
      <c r="H290" s="3">
        <f t="shared" si="13"/>
        <v>9.4E-2</v>
      </c>
      <c r="I290" s="7">
        <v>1.49</v>
      </c>
      <c r="J290" s="5">
        <f t="shared" si="14"/>
        <v>0.29599999999999982</v>
      </c>
    </row>
    <row r="291" spans="1:10" x14ac:dyDescent="0.35">
      <c r="A291" s="3" t="s">
        <v>299</v>
      </c>
      <c r="B291" s="6">
        <v>43650</v>
      </c>
      <c r="C291" s="10" t="s">
        <v>589</v>
      </c>
      <c r="D291" s="3" t="s">
        <v>19</v>
      </c>
      <c r="E291" s="4">
        <v>40.97</v>
      </c>
      <c r="F291" s="3">
        <v>49</v>
      </c>
      <c r="G291" s="3">
        <f t="shared" si="12"/>
        <v>2007.53</v>
      </c>
      <c r="H291" s="3">
        <f t="shared" si="13"/>
        <v>100.37650000000001</v>
      </c>
      <c r="I291" s="7">
        <v>8.99</v>
      </c>
      <c r="J291" s="5">
        <f t="shared" si="14"/>
        <v>1898.1634999999999</v>
      </c>
    </row>
    <row r="292" spans="1:10" x14ac:dyDescent="0.35">
      <c r="A292" s="3" t="s">
        <v>300</v>
      </c>
      <c r="B292" s="6">
        <v>43649</v>
      </c>
      <c r="C292" s="10" t="s">
        <v>588</v>
      </c>
      <c r="D292" s="3" t="s">
        <v>19</v>
      </c>
      <c r="E292" s="4">
        <v>599.99</v>
      </c>
      <c r="F292" s="3">
        <v>17</v>
      </c>
      <c r="G292" s="3">
        <f t="shared" si="12"/>
        <v>10199.83</v>
      </c>
      <c r="H292" s="3">
        <f t="shared" si="13"/>
        <v>509.99150000000003</v>
      </c>
      <c r="I292" s="7">
        <v>24.49</v>
      </c>
      <c r="J292" s="5">
        <f t="shared" si="14"/>
        <v>9665.3485000000001</v>
      </c>
    </row>
    <row r="293" spans="1:10" x14ac:dyDescent="0.35">
      <c r="A293" s="3" t="s">
        <v>301</v>
      </c>
      <c r="B293" s="6">
        <v>43648</v>
      </c>
      <c r="C293" s="10" t="s">
        <v>589</v>
      </c>
      <c r="D293" s="3" t="s">
        <v>19</v>
      </c>
      <c r="E293" s="4">
        <v>1.68</v>
      </c>
      <c r="F293" s="3">
        <v>24</v>
      </c>
      <c r="G293" s="3">
        <f t="shared" si="12"/>
        <v>40.32</v>
      </c>
      <c r="H293" s="3">
        <f t="shared" si="13"/>
        <v>2.016</v>
      </c>
      <c r="I293" s="7">
        <v>1</v>
      </c>
      <c r="J293" s="5">
        <f t="shared" si="14"/>
        <v>37.304000000000002</v>
      </c>
    </row>
    <row r="294" spans="1:10" x14ac:dyDescent="0.35">
      <c r="A294" s="3" t="s">
        <v>302</v>
      </c>
      <c r="B294" s="6">
        <v>43647</v>
      </c>
      <c r="C294" s="10" t="s">
        <v>8</v>
      </c>
      <c r="D294" s="3" t="s">
        <v>19</v>
      </c>
      <c r="E294" s="4">
        <v>1.88</v>
      </c>
      <c r="F294" s="3">
        <v>39</v>
      </c>
      <c r="G294" s="3">
        <f t="shared" si="12"/>
        <v>73.319999999999993</v>
      </c>
      <c r="H294" s="3">
        <f t="shared" si="13"/>
        <v>3.6659999999999999</v>
      </c>
      <c r="I294" s="7">
        <v>1.49</v>
      </c>
      <c r="J294" s="5">
        <f t="shared" si="14"/>
        <v>68.164000000000001</v>
      </c>
    </row>
    <row r="295" spans="1:10" x14ac:dyDescent="0.35">
      <c r="A295" s="3" t="s">
        <v>303</v>
      </c>
      <c r="B295" s="6">
        <v>43646</v>
      </c>
      <c r="C295" s="10" t="s">
        <v>589</v>
      </c>
      <c r="D295" s="3" t="s">
        <v>19</v>
      </c>
      <c r="E295" s="4">
        <v>45.99</v>
      </c>
      <c r="F295" s="3">
        <v>11</v>
      </c>
      <c r="G295" s="3">
        <f t="shared" si="12"/>
        <v>505.89000000000004</v>
      </c>
      <c r="H295" s="3">
        <f t="shared" si="13"/>
        <v>25.294500000000003</v>
      </c>
      <c r="I295" s="7">
        <v>4.99</v>
      </c>
      <c r="J295" s="5">
        <f t="shared" si="14"/>
        <v>475.60550000000001</v>
      </c>
    </row>
    <row r="296" spans="1:10" x14ac:dyDescent="0.35">
      <c r="A296" s="3" t="s">
        <v>304</v>
      </c>
      <c r="B296" s="6">
        <v>43645</v>
      </c>
      <c r="C296" s="10" t="s">
        <v>11</v>
      </c>
      <c r="D296" s="3" t="s">
        <v>19</v>
      </c>
      <c r="E296" s="4">
        <v>5.18</v>
      </c>
      <c r="F296" s="3">
        <v>25</v>
      </c>
      <c r="G296" s="3">
        <f t="shared" si="12"/>
        <v>129.5</v>
      </c>
      <c r="H296" s="3">
        <f t="shared" si="13"/>
        <v>6.4750000000000005</v>
      </c>
      <c r="I296" s="7">
        <v>2.04</v>
      </c>
      <c r="J296" s="5">
        <f t="shared" si="14"/>
        <v>120.985</v>
      </c>
    </row>
    <row r="297" spans="1:10" x14ac:dyDescent="0.35">
      <c r="A297" s="3" t="s">
        <v>305</v>
      </c>
      <c r="B297" s="6">
        <v>43644</v>
      </c>
      <c r="C297" s="10" t="s">
        <v>589</v>
      </c>
      <c r="D297" s="3" t="s">
        <v>19</v>
      </c>
      <c r="E297" s="4">
        <v>10.89</v>
      </c>
      <c r="F297" s="3">
        <v>30</v>
      </c>
      <c r="G297" s="3">
        <f t="shared" si="12"/>
        <v>326.70000000000005</v>
      </c>
      <c r="H297" s="3">
        <f t="shared" si="13"/>
        <v>16.335000000000004</v>
      </c>
      <c r="I297" s="7">
        <v>4.5</v>
      </c>
      <c r="J297" s="5">
        <f t="shared" si="14"/>
        <v>305.86500000000007</v>
      </c>
    </row>
    <row r="298" spans="1:10" x14ac:dyDescent="0.35">
      <c r="A298" s="3" t="s">
        <v>306</v>
      </c>
      <c r="B298" s="6">
        <v>43643</v>
      </c>
      <c r="C298" s="10" t="s">
        <v>8</v>
      </c>
      <c r="D298" s="3" t="s">
        <v>19</v>
      </c>
      <c r="E298" s="4">
        <v>19.98</v>
      </c>
      <c r="F298" s="3">
        <v>18</v>
      </c>
      <c r="G298" s="3">
        <f t="shared" si="12"/>
        <v>359.64</v>
      </c>
      <c r="H298" s="3">
        <f t="shared" si="13"/>
        <v>17.981999999999999</v>
      </c>
      <c r="I298" s="7">
        <v>4</v>
      </c>
      <c r="J298" s="5">
        <f t="shared" si="14"/>
        <v>337.65800000000002</v>
      </c>
    </row>
    <row r="299" spans="1:10" x14ac:dyDescent="0.35">
      <c r="A299" s="3" t="s">
        <v>307</v>
      </c>
      <c r="B299" s="6">
        <v>43642</v>
      </c>
      <c r="C299" s="10" t="s">
        <v>589</v>
      </c>
      <c r="D299" s="3" t="s">
        <v>19</v>
      </c>
      <c r="E299" s="4">
        <v>34.76</v>
      </c>
      <c r="F299" s="3">
        <v>46</v>
      </c>
      <c r="G299" s="3">
        <f t="shared" si="12"/>
        <v>1598.9599999999998</v>
      </c>
      <c r="H299" s="3">
        <f t="shared" si="13"/>
        <v>79.947999999999993</v>
      </c>
      <c r="I299" s="7">
        <v>8.2200000000000006</v>
      </c>
      <c r="J299" s="5">
        <f t="shared" si="14"/>
        <v>1510.7919999999997</v>
      </c>
    </row>
    <row r="300" spans="1:10" x14ac:dyDescent="0.35">
      <c r="A300" s="3" t="s">
        <v>308</v>
      </c>
      <c r="B300" s="6">
        <v>43641</v>
      </c>
      <c r="C300" s="10" t="s">
        <v>587</v>
      </c>
      <c r="D300" s="3" t="s">
        <v>19</v>
      </c>
      <c r="E300" s="4">
        <v>162.93</v>
      </c>
      <c r="F300" s="3">
        <v>41</v>
      </c>
      <c r="G300" s="3">
        <f t="shared" si="12"/>
        <v>6680.13</v>
      </c>
      <c r="H300" s="3">
        <f t="shared" si="13"/>
        <v>334.00650000000002</v>
      </c>
      <c r="I300" s="7">
        <v>19.989999999999998</v>
      </c>
      <c r="J300" s="5">
        <f t="shared" si="14"/>
        <v>6326.1334999999999</v>
      </c>
    </row>
    <row r="301" spans="1:10" x14ac:dyDescent="0.35">
      <c r="A301" s="3" t="s">
        <v>309</v>
      </c>
      <c r="B301" s="6">
        <v>43640</v>
      </c>
      <c r="C301" s="10" t="s">
        <v>589</v>
      </c>
      <c r="D301" s="3" t="s">
        <v>19</v>
      </c>
      <c r="E301" s="4">
        <v>300.97000000000003</v>
      </c>
      <c r="F301" s="3">
        <v>8</v>
      </c>
      <c r="G301" s="3">
        <f t="shared" si="12"/>
        <v>2407.7600000000002</v>
      </c>
      <c r="H301" s="3">
        <f t="shared" si="13"/>
        <v>120.38800000000002</v>
      </c>
      <c r="I301" s="7">
        <v>7.18</v>
      </c>
      <c r="J301" s="5">
        <f t="shared" si="14"/>
        <v>2280.1920000000005</v>
      </c>
    </row>
    <row r="302" spans="1:10" x14ac:dyDescent="0.35">
      <c r="A302" s="3" t="s">
        <v>310</v>
      </c>
      <c r="B302" s="6">
        <v>43639</v>
      </c>
      <c r="C302" s="10" t="s">
        <v>587</v>
      </c>
      <c r="D302" s="3" t="s">
        <v>19</v>
      </c>
      <c r="E302" s="4">
        <v>2.6</v>
      </c>
      <c r="F302" s="3">
        <v>14</v>
      </c>
      <c r="G302" s="3">
        <f t="shared" si="12"/>
        <v>36.4</v>
      </c>
      <c r="H302" s="3">
        <f t="shared" si="13"/>
        <v>1.82</v>
      </c>
      <c r="I302" s="7">
        <v>2.4</v>
      </c>
      <c r="J302" s="5">
        <f t="shared" si="14"/>
        <v>32.18</v>
      </c>
    </row>
    <row r="303" spans="1:10" x14ac:dyDescent="0.35">
      <c r="A303" s="3" t="s">
        <v>311</v>
      </c>
      <c r="B303" s="6">
        <v>43638</v>
      </c>
      <c r="C303" s="10" t="s">
        <v>589</v>
      </c>
      <c r="D303" s="3" t="s">
        <v>19</v>
      </c>
      <c r="E303" s="4">
        <v>1.68</v>
      </c>
      <c r="F303" s="3">
        <v>6</v>
      </c>
      <c r="G303" s="3">
        <f t="shared" si="12"/>
        <v>10.08</v>
      </c>
      <c r="H303" s="3">
        <f t="shared" si="13"/>
        <v>0.504</v>
      </c>
      <c r="I303" s="7">
        <v>1.02</v>
      </c>
      <c r="J303" s="5">
        <f t="shared" si="14"/>
        <v>8.5560000000000009</v>
      </c>
    </row>
    <row r="304" spans="1:10" x14ac:dyDescent="0.35">
      <c r="A304" s="3" t="s">
        <v>312</v>
      </c>
      <c r="B304" s="6">
        <v>43637</v>
      </c>
      <c r="C304" s="10" t="s">
        <v>587</v>
      </c>
      <c r="D304" s="3" t="s">
        <v>19</v>
      </c>
      <c r="E304" s="4">
        <v>2.62</v>
      </c>
      <c r="F304" s="3">
        <v>26</v>
      </c>
      <c r="G304" s="3">
        <f t="shared" si="12"/>
        <v>68.12</v>
      </c>
      <c r="H304" s="3">
        <f t="shared" si="13"/>
        <v>3.4060000000000006</v>
      </c>
      <c r="I304" s="7">
        <v>0.8</v>
      </c>
      <c r="J304" s="5">
        <f t="shared" si="14"/>
        <v>63.914000000000001</v>
      </c>
    </row>
    <row r="305" spans="1:10" x14ac:dyDescent="0.35">
      <c r="A305" s="3" t="s">
        <v>313</v>
      </c>
      <c r="B305" s="6">
        <v>43636</v>
      </c>
      <c r="C305" s="10" t="s">
        <v>589</v>
      </c>
      <c r="D305" s="3" t="s">
        <v>19</v>
      </c>
      <c r="E305" s="4">
        <v>2.78</v>
      </c>
      <c r="F305" s="3">
        <v>39</v>
      </c>
      <c r="G305" s="3">
        <f t="shared" si="12"/>
        <v>108.41999999999999</v>
      </c>
      <c r="H305" s="3">
        <f t="shared" si="13"/>
        <v>5.4209999999999994</v>
      </c>
      <c r="I305" s="7">
        <v>1.2</v>
      </c>
      <c r="J305" s="5">
        <f t="shared" si="14"/>
        <v>101.79899999999999</v>
      </c>
    </row>
    <row r="306" spans="1:10" x14ac:dyDescent="0.35">
      <c r="A306" s="3" t="s">
        <v>314</v>
      </c>
      <c r="B306" s="6">
        <v>43635</v>
      </c>
      <c r="C306" s="10" t="s">
        <v>587</v>
      </c>
      <c r="D306" s="3" t="s">
        <v>19</v>
      </c>
      <c r="E306" s="4">
        <v>1.88</v>
      </c>
      <c r="F306" s="3">
        <v>20</v>
      </c>
      <c r="G306" s="3">
        <f t="shared" si="12"/>
        <v>37.599999999999994</v>
      </c>
      <c r="H306" s="3">
        <f t="shared" si="13"/>
        <v>1.88</v>
      </c>
      <c r="I306" s="7">
        <v>1.49</v>
      </c>
      <c r="J306" s="5">
        <f t="shared" si="14"/>
        <v>34.22999999999999</v>
      </c>
    </row>
    <row r="307" spans="1:10" x14ac:dyDescent="0.35">
      <c r="A307" s="3" t="s">
        <v>315</v>
      </c>
      <c r="B307" s="6">
        <v>43634</v>
      </c>
      <c r="C307" s="10" t="s">
        <v>589</v>
      </c>
      <c r="D307" s="3" t="s">
        <v>19</v>
      </c>
      <c r="E307" s="4">
        <v>2.88</v>
      </c>
      <c r="F307" s="3">
        <v>28</v>
      </c>
      <c r="G307" s="3">
        <f t="shared" si="12"/>
        <v>80.64</v>
      </c>
      <c r="H307" s="3">
        <f t="shared" si="13"/>
        <v>4.032</v>
      </c>
      <c r="I307" s="7">
        <v>0.99</v>
      </c>
      <c r="J307" s="5">
        <f t="shared" si="14"/>
        <v>75.618000000000009</v>
      </c>
    </row>
    <row r="308" spans="1:10" x14ac:dyDescent="0.35">
      <c r="A308" s="3" t="s">
        <v>316</v>
      </c>
      <c r="B308" s="6">
        <v>43633</v>
      </c>
      <c r="C308" s="10" t="s">
        <v>11</v>
      </c>
      <c r="D308" s="3" t="s">
        <v>19</v>
      </c>
      <c r="E308" s="4">
        <v>58.1</v>
      </c>
      <c r="F308" s="3">
        <v>27</v>
      </c>
      <c r="G308" s="3">
        <f t="shared" si="12"/>
        <v>1568.7</v>
      </c>
      <c r="H308" s="3">
        <f t="shared" si="13"/>
        <v>78.435000000000002</v>
      </c>
      <c r="I308" s="7">
        <v>1.49</v>
      </c>
      <c r="J308" s="5">
        <f t="shared" si="14"/>
        <v>1488.7750000000001</v>
      </c>
    </row>
    <row r="309" spans="1:10" x14ac:dyDescent="0.35">
      <c r="A309" s="3" t="s">
        <v>317</v>
      </c>
      <c r="B309" s="6">
        <v>43632</v>
      </c>
      <c r="C309" s="10" t="s">
        <v>589</v>
      </c>
      <c r="D309" s="3" t="s">
        <v>19</v>
      </c>
      <c r="E309" s="4">
        <v>9.11</v>
      </c>
      <c r="F309" s="3">
        <v>30</v>
      </c>
      <c r="G309" s="3">
        <f t="shared" si="12"/>
        <v>273.29999999999995</v>
      </c>
      <c r="H309" s="3">
        <f t="shared" si="13"/>
        <v>13.664999999999999</v>
      </c>
      <c r="I309" s="7">
        <v>2.25</v>
      </c>
      <c r="J309" s="5">
        <f t="shared" si="14"/>
        <v>257.38499999999993</v>
      </c>
    </row>
    <row r="310" spans="1:10" x14ac:dyDescent="0.35">
      <c r="A310" s="3" t="s">
        <v>318</v>
      </c>
      <c r="B310" s="6">
        <v>43631</v>
      </c>
      <c r="C310" s="10" t="s">
        <v>8</v>
      </c>
      <c r="D310" s="3" t="s">
        <v>19</v>
      </c>
      <c r="E310" s="4">
        <v>6.47</v>
      </c>
      <c r="F310" s="3">
        <v>16</v>
      </c>
      <c r="G310" s="3">
        <f t="shared" si="12"/>
        <v>103.52</v>
      </c>
      <c r="H310" s="3">
        <f t="shared" si="13"/>
        <v>5.1760000000000002</v>
      </c>
      <c r="I310" s="7">
        <v>1.22</v>
      </c>
      <c r="J310" s="5">
        <f t="shared" si="14"/>
        <v>97.123999999999995</v>
      </c>
    </row>
    <row r="311" spans="1:10" x14ac:dyDescent="0.35">
      <c r="A311" s="3" t="s">
        <v>319</v>
      </c>
      <c r="B311" s="6">
        <v>43630</v>
      </c>
      <c r="C311" s="10" t="s">
        <v>589</v>
      </c>
      <c r="D311" s="3" t="s">
        <v>19</v>
      </c>
      <c r="E311" s="4">
        <v>3.98</v>
      </c>
      <c r="F311" s="3">
        <v>11</v>
      </c>
      <c r="G311" s="3">
        <f t="shared" si="12"/>
        <v>43.78</v>
      </c>
      <c r="H311" s="3">
        <f t="shared" si="13"/>
        <v>2.1890000000000001</v>
      </c>
      <c r="I311" s="7">
        <v>2.97</v>
      </c>
      <c r="J311" s="5">
        <f t="shared" si="14"/>
        <v>38.621000000000002</v>
      </c>
    </row>
    <row r="312" spans="1:10" x14ac:dyDescent="0.35">
      <c r="A312" s="3" t="s">
        <v>320</v>
      </c>
      <c r="B312" s="6">
        <v>43629</v>
      </c>
      <c r="C312" s="10" t="s">
        <v>11</v>
      </c>
      <c r="D312" s="3" t="s">
        <v>19</v>
      </c>
      <c r="E312" s="4">
        <v>152.47999999999999</v>
      </c>
      <c r="F312" s="3">
        <v>17</v>
      </c>
      <c r="G312" s="3">
        <f t="shared" si="12"/>
        <v>2592.16</v>
      </c>
      <c r="H312" s="3">
        <f t="shared" si="13"/>
        <v>129.608</v>
      </c>
      <c r="I312" s="7">
        <v>6.5</v>
      </c>
      <c r="J312" s="5">
        <f t="shared" si="14"/>
        <v>2456.0519999999997</v>
      </c>
    </row>
    <row r="313" spans="1:10" x14ac:dyDescent="0.35">
      <c r="A313" s="3" t="s">
        <v>321</v>
      </c>
      <c r="B313" s="6">
        <v>43628</v>
      </c>
      <c r="C313" s="10" t="s">
        <v>589</v>
      </c>
      <c r="D313" s="3" t="s">
        <v>19</v>
      </c>
      <c r="E313" s="4">
        <v>2.78</v>
      </c>
      <c r="F313" s="3">
        <v>21</v>
      </c>
      <c r="G313" s="3">
        <f t="shared" si="12"/>
        <v>58.379999999999995</v>
      </c>
      <c r="H313" s="3">
        <f t="shared" si="13"/>
        <v>2.919</v>
      </c>
      <c r="I313" s="7">
        <v>1.34</v>
      </c>
      <c r="J313" s="5">
        <f t="shared" si="14"/>
        <v>54.120999999999995</v>
      </c>
    </row>
    <row r="314" spans="1:10" x14ac:dyDescent="0.35">
      <c r="A314" s="3" t="s">
        <v>322</v>
      </c>
      <c r="B314" s="6">
        <v>43627</v>
      </c>
      <c r="C314" s="10" t="s">
        <v>8</v>
      </c>
      <c r="D314" s="3" t="s">
        <v>19</v>
      </c>
      <c r="E314" s="4">
        <v>3.08</v>
      </c>
      <c r="F314" s="3">
        <v>11</v>
      </c>
      <c r="G314" s="3">
        <f t="shared" si="12"/>
        <v>33.880000000000003</v>
      </c>
      <c r="H314" s="3">
        <f t="shared" si="13"/>
        <v>1.6940000000000002</v>
      </c>
      <c r="I314" s="7">
        <v>0.99</v>
      </c>
      <c r="J314" s="5">
        <f t="shared" si="14"/>
        <v>31.196000000000002</v>
      </c>
    </row>
    <row r="315" spans="1:10" x14ac:dyDescent="0.35">
      <c r="A315" s="3" t="s">
        <v>323</v>
      </c>
      <c r="B315" s="6">
        <v>43626</v>
      </c>
      <c r="C315" s="10" t="s">
        <v>589</v>
      </c>
      <c r="D315" s="3" t="s">
        <v>19</v>
      </c>
      <c r="E315" s="4">
        <v>10.23</v>
      </c>
      <c r="F315" s="3">
        <v>16</v>
      </c>
      <c r="G315" s="3">
        <f t="shared" si="12"/>
        <v>163.68</v>
      </c>
      <c r="H315" s="3">
        <f t="shared" si="13"/>
        <v>8.1840000000000011</v>
      </c>
      <c r="I315" s="7">
        <v>4.68</v>
      </c>
      <c r="J315" s="5">
        <f t="shared" si="14"/>
        <v>150.816</v>
      </c>
    </row>
    <row r="316" spans="1:10" x14ac:dyDescent="0.35">
      <c r="A316" s="3" t="s">
        <v>324</v>
      </c>
      <c r="B316" s="6">
        <v>43625</v>
      </c>
      <c r="C316" s="10" t="s">
        <v>588</v>
      </c>
      <c r="D316" s="3" t="s">
        <v>19</v>
      </c>
      <c r="E316" s="4">
        <v>10.89</v>
      </c>
      <c r="F316" s="3">
        <v>10</v>
      </c>
      <c r="G316" s="3">
        <f t="shared" si="12"/>
        <v>108.9</v>
      </c>
      <c r="H316" s="3">
        <f t="shared" si="13"/>
        <v>5.4450000000000003</v>
      </c>
      <c r="I316" s="7">
        <v>4.5</v>
      </c>
      <c r="J316" s="5">
        <f t="shared" si="14"/>
        <v>98.955000000000013</v>
      </c>
    </row>
    <row r="317" spans="1:10" x14ac:dyDescent="0.35">
      <c r="A317" s="3" t="s">
        <v>325</v>
      </c>
      <c r="B317" s="6">
        <v>43624</v>
      </c>
      <c r="C317" s="10" t="s">
        <v>589</v>
      </c>
      <c r="D317" s="3" t="s">
        <v>19</v>
      </c>
      <c r="E317" s="4">
        <v>6.47</v>
      </c>
      <c r="F317" s="3">
        <v>22</v>
      </c>
      <c r="G317" s="3">
        <f t="shared" si="12"/>
        <v>142.34</v>
      </c>
      <c r="H317" s="3">
        <f t="shared" si="13"/>
        <v>7.1170000000000009</v>
      </c>
      <c r="I317" s="7">
        <v>1.22</v>
      </c>
      <c r="J317" s="5">
        <f t="shared" si="14"/>
        <v>134.00300000000001</v>
      </c>
    </row>
    <row r="318" spans="1:10" x14ac:dyDescent="0.35">
      <c r="A318" s="3" t="s">
        <v>326</v>
      </c>
      <c r="B318" s="6">
        <v>43623</v>
      </c>
      <c r="C318" s="10" t="s">
        <v>588</v>
      </c>
      <c r="D318" s="3" t="s">
        <v>19</v>
      </c>
      <c r="E318" s="4">
        <v>6.08</v>
      </c>
      <c r="F318" s="3">
        <v>41</v>
      </c>
      <c r="G318" s="3">
        <f t="shared" si="12"/>
        <v>249.28</v>
      </c>
      <c r="H318" s="3">
        <f t="shared" si="13"/>
        <v>12.464</v>
      </c>
      <c r="I318" s="7">
        <v>1.82</v>
      </c>
      <c r="J318" s="5">
        <f t="shared" si="14"/>
        <v>234.99600000000001</v>
      </c>
    </row>
    <row r="319" spans="1:10" x14ac:dyDescent="0.35">
      <c r="A319" s="3" t="s">
        <v>327</v>
      </c>
      <c r="B319" s="6">
        <v>43622</v>
      </c>
      <c r="C319" s="10" t="s">
        <v>589</v>
      </c>
      <c r="D319" s="3" t="s">
        <v>19</v>
      </c>
      <c r="E319" s="4">
        <v>10.23</v>
      </c>
      <c r="F319" s="3">
        <v>46</v>
      </c>
      <c r="G319" s="3">
        <f t="shared" si="12"/>
        <v>470.58000000000004</v>
      </c>
      <c r="H319" s="3">
        <f t="shared" si="13"/>
        <v>23.529000000000003</v>
      </c>
      <c r="I319" s="7">
        <v>4.68</v>
      </c>
      <c r="J319" s="5">
        <f t="shared" si="14"/>
        <v>442.37100000000004</v>
      </c>
    </row>
    <row r="320" spans="1:10" x14ac:dyDescent="0.35">
      <c r="A320" s="3" t="s">
        <v>328</v>
      </c>
      <c r="B320" s="6">
        <v>43621</v>
      </c>
      <c r="C320" s="10" t="s">
        <v>588</v>
      </c>
      <c r="D320" s="3" t="s">
        <v>19</v>
      </c>
      <c r="E320" s="4">
        <v>2.61</v>
      </c>
      <c r="F320" s="3">
        <v>40</v>
      </c>
      <c r="G320" s="3">
        <f t="shared" si="12"/>
        <v>104.39999999999999</v>
      </c>
      <c r="H320" s="3">
        <f t="shared" si="13"/>
        <v>5.22</v>
      </c>
      <c r="I320" s="7">
        <v>0.5</v>
      </c>
      <c r="J320" s="5">
        <f t="shared" si="14"/>
        <v>98.679999999999993</v>
      </c>
    </row>
    <row r="321" spans="1:10" x14ac:dyDescent="0.35">
      <c r="A321" s="3" t="s">
        <v>329</v>
      </c>
      <c r="B321" s="6">
        <v>43620</v>
      </c>
      <c r="C321" s="10" t="s">
        <v>589</v>
      </c>
      <c r="D321" s="3" t="s">
        <v>19</v>
      </c>
      <c r="E321" s="4">
        <v>1.48</v>
      </c>
      <c r="F321" s="3">
        <v>19</v>
      </c>
      <c r="G321" s="3">
        <f t="shared" si="12"/>
        <v>28.12</v>
      </c>
      <c r="H321" s="3">
        <f t="shared" si="13"/>
        <v>1.4060000000000001</v>
      </c>
      <c r="I321" s="7">
        <v>0.7</v>
      </c>
      <c r="J321" s="5">
        <f t="shared" si="14"/>
        <v>26.014000000000003</v>
      </c>
    </row>
    <row r="322" spans="1:10" x14ac:dyDescent="0.35">
      <c r="A322" s="3" t="s">
        <v>330</v>
      </c>
      <c r="B322" s="6">
        <v>43619</v>
      </c>
      <c r="C322" s="10" t="s">
        <v>588</v>
      </c>
      <c r="D322" s="3" t="s">
        <v>19</v>
      </c>
      <c r="E322" s="4">
        <v>9.3800000000000008</v>
      </c>
      <c r="F322" s="3">
        <v>24</v>
      </c>
      <c r="G322" s="3">
        <f t="shared" si="12"/>
        <v>225.12</v>
      </c>
      <c r="H322" s="3">
        <f t="shared" si="13"/>
        <v>11.256</v>
      </c>
      <c r="I322" s="7">
        <v>7.28</v>
      </c>
      <c r="J322" s="5">
        <f t="shared" si="14"/>
        <v>206.584</v>
      </c>
    </row>
    <row r="323" spans="1:10" x14ac:dyDescent="0.35">
      <c r="A323" s="3" t="s">
        <v>331</v>
      </c>
      <c r="B323" s="6">
        <v>43618</v>
      </c>
      <c r="C323" s="10" t="s">
        <v>589</v>
      </c>
      <c r="D323" s="3" t="s">
        <v>19</v>
      </c>
      <c r="E323" s="4">
        <v>6.68</v>
      </c>
      <c r="F323" s="3">
        <v>12</v>
      </c>
      <c r="G323" s="3">
        <f t="shared" ref="G323:G386" si="15">E323*F323</f>
        <v>80.16</v>
      </c>
      <c r="H323" s="3">
        <f t="shared" ref="H323:H386" si="16">G323*5%</f>
        <v>4.008</v>
      </c>
      <c r="I323" s="7">
        <v>1.5</v>
      </c>
      <c r="J323" s="5">
        <f t="shared" ref="J323:J386" si="17">G323-H323-I323</f>
        <v>74.652000000000001</v>
      </c>
    </row>
    <row r="324" spans="1:10" x14ac:dyDescent="0.35">
      <c r="A324" s="3" t="s">
        <v>332</v>
      </c>
      <c r="B324" s="6">
        <v>43617</v>
      </c>
      <c r="C324" s="10" t="s">
        <v>588</v>
      </c>
      <c r="D324" s="3" t="s">
        <v>19</v>
      </c>
      <c r="E324" s="4">
        <v>29.99</v>
      </c>
      <c r="F324" s="3">
        <v>20</v>
      </c>
      <c r="G324" s="3">
        <f t="shared" si="15"/>
        <v>599.79999999999995</v>
      </c>
      <c r="H324" s="3">
        <f t="shared" si="16"/>
        <v>29.99</v>
      </c>
      <c r="I324" s="7">
        <v>5.5</v>
      </c>
      <c r="J324" s="5">
        <f t="shared" si="17"/>
        <v>564.30999999999995</v>
      </c>
    </row>
    <row r="325" spans="1:10" x14ac:dyDescent="0.35">
      <c r="A325" s="3" t="s">
        <v>333</v>
      </c>
      <c r="B325" s="6">
        <v>43616</v>
      </c>
      <c r="C325" s="10" t="s">
        <v>589</v>
      </c>
      <c r="D325" s="3" t="s">
        <v>19</v>
      </c>
      <c r="E325" s="4">
        <v>90.48</v>
      </c>
      <c r="F325" s="3">
        <v>49</v>
      </c>
      <c r="G325" s="3">
        <f t="shared" si="15"/>
        <v>4433.5200000000004</v>
      </c>
      <c r="H325" s="3">
        <f t="shared" si="16"/>
        <v>221.67600000000004</v>
      </c>
      <c r="I325" s="7">
        <v>19.989999999999998</v>
      </c>
      <c r="J325" s="5">
        <f t="shared" si="17"/>
        <v>4191.8540000000003</v>
      </c>
    </row>
    <row r="326" spans="1:10" x14ac:dyDescent="0.35">
      <c r="A326" s="3" t="s">
        <v>334</v>
      </c>
      <c r="B326" s="6">
        <v>43615</v>
      </c>
      <c r="C326" s="10" t="s">
        <v>588</v>
      </c>
      <c r="D326" s="3" t="s">
        <v>19</v>
      </c>
      <c r="E326" s="4">
        <v>4.26</v>
      </c>
      <c r="F326" s="3">
        <v>47</v>
      </c>
      <c r="G326" s="3">
        <f t="shared" si="15"/>
        <v>200.22</v>
      </c>
      <c r="H326" s="3">
        <f t="shared" si="16"/>
        <v>10.011000000000001</v>
      </c>
      <c r="I326" s="7">
        <v>1.2</v>
      </c>
      <c r="J326" s="5">
        <f t="shared" si="17"/>
        <v>189.00900000000001</v>
      </c>
    </row>
    <row r="327" spans="1:10" x14ac:dyDescent="0.35">
      <c r="A327" s="3" t="s">
        <v>335</v>
      </c>
      <c r="B327" s="6">
        <v>43614</v>
      </c>
      <c r="C327" s="10" t="s">
        <v>589</v>
      </c>
      <c r="D327" s="3" t="s">
        <v>19</v>
      </c>
      <c r="E327" s="4">
        <v>2.88</v>
      </c>
      <c r="F327" s="3">
        <v>17</v>
      </c>
      <c r="G327" s="3">
        <f t="shared" si="15"/>
        <v>48.96</v>
      </c>
      <c r="H327" s="3">
        <f t="shared" si="16"/>
        <v>2.4480000000000004</v>
      </c>
      <c r="I327" s="7">
        <v>1.01</v>
      </c>
      <c r="J327" s="5">
        <f t="shared" si="17"/>
        <v>45.502000000000002</v>
      </c>
    </row>
    <row r="328" spans="1:10" x14ac:dyDescent="0.35">
      <c r="A328" s="3" t="s">
        <v>336</v>
      </c>
      <c r="B328" s="6">
        <v>43613</v>
      </c>
      <c r="C328" s="10" t="s">
        <v>588</v>
      </c>
      <c r="D328" s="3" t="s">
        <v>19</v>
      </c>
      <c r="E328" s="4">
        <v>415.88</v>
      </c>
      <c r="F328" s="3">
        <v>21</v>
      </c>
      <c r="G328" s="3">
        <f t="shared" si="15"/>
        <v>8733.48</v>
      </c>
      <c r="H328" s="3">
        <f t="shared" si="16"/>
        <v>436.67399999999998</v>
      </c>
      <c r="I328" s="7">
        <v>11.37</v>
      </c>
      <c r="J328" s="5">
        <f t="shared" si="17"/>
        <v>8285.4359999999997</v>
      </c>
    </row>
    <row r="329" spans="1:10" x14ac:dyDescent="0.35">
      <c r="A329" s="3" t="s">
        <v>337</v>
      </c>
      <c r="B329" s="6">
        <v>43612</v>
      </c>
      <c r="C329" s="10" t="s">
        <v>589</v>
      </c>
      <c r="D329" s="3" t="s">
        <v>19</v>
      </c>
      <c r="E329" s="4">
        <v>300.97000000000003</v>
      </c>
      <c r="F329" s="3">
        <v>23</v>
      </c>
      <c r="G329" s="3">
        <f t="shared" si="15"/>
        <v>6922.31</v>
      </c>
      <c r="H329" s="3">
        <f t="shared" si="16"/>
        <v>346.11550000000005</v>
      </c>
      <c r="I329" s="7">
        <v>7.18</v>
      </c>
      <c r="J329" s="5">
        <f t="shared" si="17"/>
        <v>6569.0145000000002</v>
      </c>
    </row>
    <row r="330" spans="1:10" x14ac:dyDescent="0.35">
      <c r="A330" s="3" t="s">
        <v>338</v>
      </c>
      <c r="B330" s="6">
        <v>43611</v>
      </c>
      <c r="C330" s="10" t="s">
        <v>588</v>
      </c>
      <c r="D330" s="3" t="s">
        <v>19</v>
      </c>
      <c r="E330" s="4">
        <v>12.99</v>
      </c>
      <c r="F330" s="3">
        <v>46</v>
      </c>
      <c r="G330" s="3">
        <f t="shared" si="15"/>
        <v>597.54</v>
      </c>
      <c r="H330" s="3">
        <f t="shared" si="16"/>
        <v>29.876999999999999</v>
      </c>
      <c r="I330" s="7">
        <v>9.44</v>
      </c>
      <c r="J330" s="5">
        <f t="shared" si="17"/>
        <v>558.22299999999996</v>
      </c>
    </row>
    <row r="331" spans="1:10" x14ac:dyDescent="0.35">
      <c r="A331" s="3" t="s">
        <v>339</v>
      </c>
      <c r="B331" s="6">
        <v>43610</v>
      </c>
      <c r="C331" s="10" t="s">
        <v>589</v>
      </c>
      <c r="D331" s="3" t="s">
        <v>19</v>
      </c>
      <c r="E331" s="4">
        <v>7.3</v>
      </c>
      <c r="F331" s="3">
        <v>34</v>
      </c>
      <c r="G331" s="3">
        <f t="shared" si="15"/>
        <v>248.2</v>
      </c>
      <c r="H331" s="3">
        <f t="shared" si="16"/>
        <v>12.41</v>
      </c>
      <c r="I331" s="7">
        <v>7.72</v>
      </c>
      <c r="J331" s="5">
        <f t="shared" si="17"/>
        <v>228.07</v>
      </c>
    </row>
    <row r="332" spans="1:10" x14ac:dyDescent="0.35">
      <c r="A332" s="3" t="s">
        <v>340</v>
      </c>
      <c r="B332" s="6">
        <v>43609</v>
      </c>
      <c r="C332" s="10" t="s">
        <v>588</v>
      </c>
      <c r="D332" s="3" t="s">
        <v>19</v>
      </c>
      <c r="E332" s="4">
        <v>3.69</v>
      </c>
      <c r="F332" s="3">
        <v>47</v>
      </c>
      <c r="G332" s="3">
        <f t="shared" si="15"/>
        <v>173.43</v>
      </c>
      <c r="H332" s="3">
        <f t="shared" si="16"/>
        <v>8.6715</v>
      </c>
      <c r="I332" s="7">
        <v>2.5</v>
      </c>
      <c r="J332" s="5">
        <f t="shared" si="17"/>
        <v>162.2585</v>
      </c>
    </row>
    <row r="333" spans="1:10" x14ac:dyDescent="0.35">
      <c r="A333" s="3" t="s">
        <v>341</v>
      </c>
      <c r="B333" s="6">
        <v>43608</v>
      </c>
      <c r="C333" s="10" t="s">
        <v>589</v>
      </c>
      <c r="D333" s="3" t="s">
        <v>19</v>
      </c>
      <c r="E333" s="4">
        <v>3.49</v>
      </c>
      <c r="F333" s="3">
        <v>3</v>
      </c>
      <c r="G333" s="3">
        <f t="shared" si="15"/>
        <v>10.47</v>
      </c>
      <c r="H333" s="3">
        <f t="shared" si="16"/>
        <v>0.52350000000000008</v>
      </c>
      <c r="I333" s="7">
        <v>0.76</v>
      </c>
      <c r="J333" s="5">
        <f t="shared" si="17"/>
        <v>9.1865000000000006</v>
      </c>
    </row>
    <row r="334" spans="1:10" x14ac:dyDescent="0.35">
      <c r="A334" s="3" t="s">
        <v>342</v>
      </c>
      <c r="B334" s="6">
        <v>43607</v>
      </c>
      <c r="C334" s="10" t="s">
        <v>588</v>
      </c>
      <c r="D334" s="3" t="s">
        <v>19</v>
      </c>
      <c r="E334" s="4">
        <v>1.88</v>
      </c>
      <c r="F334" s="3">
        <v>6</v>
      </c>
      <c r="G334" s="3">
        <f t="shared" si="15"/>
        <v>11.28</v>
      </c>
      <c r="H334" s="3">
        <f t="shared" si="16"/>
        <v>0.56399999999999995</v>
      </c>
      <c r="I334" s="7">
        <v>1.49</v>
      </c>
      <c r="J334" s="5">
        <f t="shared" si="17"/>
        <v>9.2259999999999991</v>
      </c>
    </row>
    <row r="335" spans="1:10" x14ac:dyDescent="0.35">
      <c r="A335" s="3" t="s">
        <v>343</v>
      </c>
      <c r="B335" s="6">
        <v>43606</v>
      </c>
      <c r="C335" s="10" t="s">
        <v>589</v>
      </c>
      <c r="D335" s="3" t="s">
        <v>19</v>
      </c>
      <c r="E335" s="4">
        <v>1.98</v>
      </c>
      <c r="F335" s="3">
        <v>4</v>
      </c>
      <c r="G335" s="3">
        <f t="shared" si="15"/>
        <v>7.92</v>
      </c>
      <c r="H335" s="3">
        <f t="shared" si="16"/>
        <v>0.39600000000000002</v>
      </c>
      <c r="I335" s="7">
        <v>4.7699999999999996</v>
      </c>
      <c r="J335" s="5">
        <f t="shared" si="17"/>
        <v>2.7540000000000004</v>
      </c>
    </row>
    <row r="336" spans="1:10" x14ac:dyDescent="0.35">
      <c r="A336" s="3" t="s">
        <v>344</v>
      </c>
      <c r="B336" s="6">
        <v>43605</v>
      </c>
      <c r="C336" s="10" t="s">
        <v>588</v>
      </c>
      <c r="D336" s="3" t="s">
        <v>19</v>
      </c>
      <c r="E336" s="4">
        <v>2.4700000000000002</v>
      </c>
      <c r="F336" s="3">
        <v>45</v>
      </c>
      <c r="G336" s="3">
        <f t="shared" si="15"/>
        <v>111.15</v>
      </c>
      <c r="H336" s="3">
        <f t="shared" si="16"/>
        <v>5.557500000000001</v>
      </c>
      <c r="I336" s="7">
        <v>1.02</v>
      </c>
      <c r="J336" s="5">
        <f t="shared" si="17"/>
        <v>104.57250000000001</v>
      </c>
    </row>
    <row r="337" spans="1:10" x14ac:dyDescent="0.35">
      <c r="A337" s="3" t="s">
        <v>345</v>
      </c>
      <c r="B337" s="6">
        <v>43604</v>
      </c>
      <c r="C337" s="10" t="s">
        <v>589</v>
      </c>
      <c r="D337" s="3" t="s">
        <v>19</v>
      </c>
      <c r="E337" s="4">
        <v>5.43</v>
      </c>
      <c r="F337" s="3">
        <v>11</v>
      </c>
      <c r="G337" s="3">
        <f t="shared" si="15"/>
        <v>59.73</v>
      </c>
      <c r="H337" s="3">
        <f t="shared" si="16"/>
        <v>2.9864999999999999</v>
      </c>
      <c r="I337" s="7">
        <v>0.95</v>
      </c>
      <c r="J337" s="5">
        <f t="shared" si="17"/>
        <v>55.793499999999995</v>
      </c>
    </row>
    <row r="338" spans="1:10" x14ac:dyDescent="0.35">
      <c r="A338" s="3" t="s">
        <v>346</v>
      </c>
      <c r="B338" s="6">
        <v>43603</v>
      </c>
      <c r="C338" s="10" t="s">
        <v>588</v>
      </c>
      <c r="D338" s="3" t="s">
        <v>19</v>
      </c>
      <c r="E338" s="4">
        <v>5.4</v>
      </c>
      <c r="F338" s="3">
        <v>8</v>
      </c>
      <c r="G338" s="3">
        <f t="shared" si="15"/>
        <v>43.2</v>
      </c>
      <c r="H338" s="3">
        <f t="shared" si="16"/>
        <v>2.16</v>
      </c>
      <c r="I338" s="7">
        <v>7.78</v>
      </c>
      <c r="J338" s="5">
        <f t="shared" si="17"/>
        <v>33.260000000000005</v>
      </c>
    </row>
    <row r="339" spans="1:10" x14ac:dyDescent="0.35">
      <c r="A339" s="3" t="s">
        <v>347</v>
      </c>
      <c r="B339" s="6">
        <v>43601</v>
      </c>
      <c r="C339" s="10" t="s">
        <v>588</v>
      </c>
      <c r="D339" s="3" t="s">
        <v>19</v>
      </c>
      <c r="E339" s="4">
        <v>1.88</v>
      </c>
      <c r="F339" s="3">
        <v>29</v>
      </c>
      <c r="G339" s="3">
        <f t="shared" si="15"/>
        <v>54.519999999999996</v>
      </c>
      <c r="H339" s="3">
        <f t="shared" si="16"/>
        <v>2.726</v>
      </c>
      <c r="I339" s="7">
        <v>1.49</v>
      </c>
      <c r="J339" s="5">
        <f t="shared" si="17"/>
        <v>50.303999999999995</v>
      </c>
    </row>
    <row r="340" spans="1:10" x14ac:dyDescent="0.35">
      <c r="A340" s="3" t="s">
        <v>348</v>
      </c>
      <c r="B340" s="6">
        <v>43599</v>
      </c>
      <c r="C340" s="10" t="s">
        <v>588</v>
      </c>
      <c r="D340" s="3" t="s">
        <v>19</v>
      </c>
      <c r="E340" s="4">
        <v>1.95</v>
      </c>
      <c r="F340" s="3">
        <v>4</v>
      </c>
      <c r="G340" s="3">
        <f t="shared" si="15"/>
        <v>7.8</v>
      </c>
      <c r="H340" s="3">
        <f t="shared" si="16"/>
        <v>0.39</v>
      </c>
      <c r="I340" s="7">
        <v>1.63</v>
      </c>
      <c r="J340" s="5">
        <f t="shared" si="17"/>
        <v>5.78</v>
      </c>
    </row>
    <row r="341" spans="1:10" x14ac:dyDescent="0.35">
      <c r="A341" s="3" t="s">
        <v>349</v>
      </c>
      <c r="B341" s="6">
        <v>43597</v>
      </c>
      <c r="C341" s="10" t="s">
        <v>588</v>
      </c>
      <c r="D341" s="3" t="s">
        <v>19</v>
      </c>
      <c r="E341" s="4">
        <v>7.08</v>
      </c>
      <c r="F341" s="3">
        <v>37</v>
      </c>
      <c r="G341" s="3">
        <f t="shared" si="15"/>
        <v>261.95999999999998</v>
      </c>
      <c r="H341" s="3">
        <f t="shared" si="16"/>
        <v>13.097999999999999</v>
      </c>
      <c r="I341" s="7">
        <v>2.35</v>
      </c>
      <c r="J341" s="5">
        <f t="shared" si="17"/>
        <v>246.51199999999997</v>
      </c>
    </row>
    <row r="342" spans="1:10" x14ac:dyDescent="0.35">
      <c r="A342" s="3" t="s">
        <v>350</v>
      </c>
      <c r="B342" s="6">
        <v>43595</v>
      </c>
      <c r="C342" s="10" t="s">
        <v>588</v>
      </c>
      <c r="D342" s="3" t="s">
        <v>19</v>
      </c>
      <c r="E342" s="4">
        <v>19.98</v>
      </c>
      <c r="F342" s="3">
        <v>34</v>
      </c>
      <c r="G342" s="3">
        <f t="shared" si="15"/>
        <v>679.32</v>
      </c>
      <c r="H342" s="3">
        <f t="shared" si="16"/>
        <v>33.966000000000001</v>
      </c>
      <c r="I342" s="7">
        <v>5.77</v>
      </c>
      <c r="J342" s="5">
        <f t="shared" si="17"/>
        <v>639.58400000000006</v>
      </c>
    </row>
    <row r="343" spans="1:10" x14ac:dyDescent="0.35">
      <c r="A343" s="3" t="s">
        <v>351</v>
      </c>
      <c r="B343" s="6">
        <v>43593</v>
      </c>
      <c r="C343" s="10" t="s">
        <v>588</v>
      </c>
      <c r="D343" s="3" t="s">
        <v>19</v>
      </c>
      <c r="E343" s="4">
        <v>20.98</v>
      </c>
      <c r="F343" s="3">
        <v>10</v>
      </c>
      <c r="G343" s="3">
        <f t="shared" si="15"/>
        <v>209.8</v>
      </c>
      <c r="H343" s="3">
        <f t="shared" si="16"/>
        <v>10.490000000000002</v>
      </c>
      <c r="I343" s="7">
        <v>1.49</v>
      </c>
      <c r="J343" s="5">
        <f t="shared" si="17"/>
        <v>197.82</v>
      </c>
    </row>
    <row r="344" spans="1:10" x14ac:dyDescent="0.35">
      <c r="A344" s="3" t="s">
        <v>352</v>
      </c>
      <c r="B344" s="6">
        <v>43591</v>
      </c>
      <c r="C344" s="10" t="s">
        <v>588</v>
      </c>
      <c r="D344" s="3" t="s">
        <v>19</v>
      </c>
      <c r="E344" s="4">
        <v>2.98</v>
      </c>
      <c r="F344" s="3">
        <v>3</v>
      </c>
      <c r="G344" s="3">
        <f t="shared" si="15"/>
        <v>8.94</v>
      </c>
      <c r="H344" s="3">
        <f t="shared" si="16"/>
        <v>0.44700000000000001</v>
      </c>
      <c r="I344" s="7">
        <v>1.58</v>
      </c>
      <c r="J344" s="5">
        <f t="shared" si="17"/>
        <v>6.9130000000000003</v>
      </c>
    </row>
    <row r="345" spans="1:10" x14ac:dyDescent="0.35">
      <c r="A345" s="3" t="s">
        <v>353</v>
      </c>
      <c r="B345" s="6">
        <v>43589</v>
      </c>
      <c r="C345" s="10" t="s">
        <v>588</v>
      </c>
      <c r="D345" s="3" t="s">
        <v>19</v>
      </c>
      <c r="E345" s="4">
        <v>1.48</v>
      </c>
      <c r="F345" s="3">
        <v>1</v>
      </c>
      <c r="G345" s="3">
        <f t="shared" si="15"/>
        <v>1.48</v>
      </c>
      <c r="H345" s="3">
        <f t="shared" si="16"/>
        <v>7.3999999999999996E-2</v>
      </c>
      <c r="I345" s="7">
        <v>0.7</v>
      </c>
      <c r="J345" s="5">
        <f t="shared" si="17"/>
        <v>0.70599999999999996</v>
      </c>
    </row>
    <row r="346" spans="1:10" x14ac:dyDescent="0.35">
      <c r="A346" s="3" t="s">
        <v>354</v>
      </c>
      <c r="B346" s="6">
        <v>43587</v>
      </c>
      <c r="C346" s="10" t="s">
        <v>588</v>
      </c>
      <c r="D346" s="3" t="s">
        <v>19</v>
      </c>
      <c r="E346" s="4">
        <v>2.94</v>
      </c>
      <c r="F346" s="3">
        <v>47</v>
      </c>
      <c r="G346" s="3">
        <f t="shared" si="15"/>
        <v>138.18</v>
      </c>
      <c r="H346" s="3">
        <f t="shared" si="16"/>
        <v>6.9090000000000007</v>
      </c>
      <c r="I346" s="7">
        <v>0.81</v>
      </c>
      <c r="J346" s="5">
        <f t="shared" si="17"/>
        <v>130.46100000000001</v>
      </c>
    </row>
    <row r="347" spans="1:10" x14ac:dyDescent="0.35">
      <c r="A347" s="3" t="s">
        <v>355</v>
      </c>
      <c r="B347" s="6">
        <v>43585</v>
      </c>
      <c r="C347" s="10" t="s">
        <v>588</v>
      </c>
      <c r="D347" s="3" t="s">
        <v>19</v>
      </c>
      <c r="E347" s="4">
        <v>5.18</v>
      </c>
      <c r="F347" s="3">
        <v>20</v>
      </c>
      <c r="G347" s="3">
        <f t="shared" si="15"/>
        <v>103.6</v>
      </c>
      <c r="H347" s="3">
        <f t="shared" si="16"/>
        <v>5.18</v>
      </c>
      <c r="I347" s="7">
        <v>2.04</v>
      </c>
      <c r="J347" s="5">
        <f t="shared" si="17"/>
        <v>96.379999999999981</v>
      </c>
    </row>
    <row r="348" spans="1:10" x14ac:dyDescent="0.35">
      <c r="A348" s="3" t="s">
        <v>356</v>
      </c>
      <c r="B348" s="6">
        <v>43583</v>
      </c>
      <c r="C348" s="10" t="s">
        <v>588</v>
      </c>
      <c r="D348" s="3" t="s">
        <v>19</v>
      </c>
      <c r="E348" s="4">
        <v>11.97</v>
      </c>
      <c r="F348" s="3">
        <v>48</v>
      </c>
      <c r="G348" s="3">
        <f t="shared" si="15"/>
        <v>574.56000000000006</v>
      </c>
      <c r="H348" s="3">
        <f t="shared" si="16"/>
        <v>28.728000000000005</v>
      </c>
      <c r="I348" s="7">
        <v>5.81</v>
      </c>
      <c r="J348" s="5">
        <f t="shared" si="17"/>
        <v>540.02200000000016</v>
      </c>
    </row>
    <row r="349" spans="1:10" x14ac:dyDescent="0.35">
      <c r="A349" s="3" t="s">
        <v>357</v>
      </c>
      <c r="B349" s="6">
        <v>43581</v>
      </c>
      <c r="C349" s="10" t="s">
        <v>588</v>
      </c>
      <c r="D349" s="3" t="s">
        <v>19</v>
      </c>
      <c r="E349" s="4">
        <v>6.3</v>
      </c>
      <c r="F349" s="3">
        <v>40</v>
      </c>
      <c r="G349" s="3">
        <f t="shared" si="15"/>
        <v>252</v>
      </c>
      <c r="H349" s="3">
        <f t="shared" si="16"/>
        <v>12.600000000000001</v>
      </c>
      <c r="I349" s="7">
        <v>0.5</v>
      </c>
      <c r="J349" s="5">
        <f t="shared" si="17"/>
        <v>238.9</v>
      </c>
    </row>
    <row r="350" spans="1:10" x14ac:dyDescent="0.35">
      <c r="A350" s="3" t="s">
        <v>358</v>
      </c>
      <c r="B350" s="6">
        <v>43579</v>
      </c>
      <c r="C350" s="10" t="s">
        <v>588</v>
      </c>
      <c r="D350" s="3" t="s">
        <v>19</v>
      </c>
      <c r="E350" s="4">
        <v>10.89</v>
      </c>
      <c r="F350" s="3">
        <v>3</v>
      </c>
      <c r="G350" s="3">
        <f t="shared" si="15"/>
        <v>32.67</v>
      </c>
      <c r="H350" s="3">
        <f t="shared" si="16"/>
        <v>1.6335000000000002</v>
      </c>
      <c r="I350" s="7">
        <v>4.5</v>
      </c>
      <c r="J350" s="5">
        <f t="shared" si="17"/>
        <v>26.5365</v>
      </c>
    </row>
    <row r="351" spans="1:10" x14ac:dyDescent="0.35">
      <c r="A351" s="3" t="s">
        <v>359</v>
      </c>
      <c r="B351" s="6">
        <v>43578</v>
      </c>
      <c r="C351" s="10" t="s">
        <v>588</v>
      </c>
      <c r="D351" s="3" t="s">
        <v>19</v>
      </c>
      <c r="E351" s="4">
        <v>100.98</v>
      </c>
      <c r="F351" s="3">
        <v>9</v>
      </c>
      <c r="G351" s="3">
        <f t="shared" si="15"/>
        <v>908.82</v>
      </c>
      <c r="H351" s="3">
        <f t="shared" si="16"/>
        <v>45.441000000000003</v>
      </c>
      <c r="I351" s="7">
        <v>7.18</v>
      </c>
      <c r="J351" s="5">
        <f t="shared" si="17"/>
        <v>856.19900000000007</v>
      </c>
    </row>
    <row r="352" spans="1:10" x14ac:dyDescent="0.35">
      <c r="A352" s="3" t="s">
        <v>360</v>
      </c>
      <c r="B352" s="6">
        <v>43577</v>
      </c>
      <c r="C352" s="10" t="s">
        <v>588</v>
      </c>
      <c r="D352" s="3" t="s">
        <v>19</v>
      </c>
      <c r="E352" s="4">
        <v>300.97000000000003</v>
      </c>
      <c r="F352" s="3">
        <v>20</v>
      </c>
      <c r="G352" s="3">
        <f t="shared" si="15"/>
        <v>6019.4000000000005</v>
      </c>
      <c r="H352" s="3">
        <f t="shared" si="16"/>
        <v>300.97000000000003</v>
      </c>
      <c r="I352" s="7">
        <v>7.18</v>
      </c>
      <c r="J352" s="5">
        <f t="shared" si="17"/>
        <v>5711.25</v>
      </c>
    </row>
    <row r="353" spans="1:10" x14ac:dyDescent="0.35">
      <c r="A353" s="3" t="s">
        <v>361</v>
      </c>
      <c r="B353" s="6">
        <v>43576</v>
      </c>
      <c r="C353" s="10" t="s">
        <v>588</v>
      </c>
      <c r="D353" s="3" t="s">
        <v>19</v>
      </c>
      <c r="E353" s="4">
        <v>5.4</v>
      </c>
      <c r="F353" s="3">
        <v>14</v>
      </c>
      <c r="G353" s="3">
        <f t="shared" si="15"/>
        <v>75.600000000000009</v>
      </c>
      <c r="H353" s="3">
        <f t="shared" si="16"/>
        <v>3.7800000000000007</v>
      </c>
      <c r="I353" s="7">
        <v>7.78</v>
      </c>
      <c r="J353" s="5">
        <f t="shared" si="17"/>
        <v>64.040000000000006</v>
      </c>
    </row>
    <row r="354" spans="1:10" x14ac:dyDescent="0.35">
      <c r="A354" s="3" t="s">
        <v>362</v>
      </c>
      <c r="B354" s="6">
        <v>43575</v>
      </c>
      <c r="C354" s="10" t="s">
        <v>588</v>
      </c>
      <c r="D354" s="3" t="s">
        <v>19</v>
      </c>
      <c r="E354" s="4">
        <v>10.89</v>
      </c>
      <c r="F354" s="3">
        <v>50</v>
      </c>
      <c r="G354" s="3">
        <f t="shared" si="15"/>
        <v>544.5</v>
      </c>
      <c r="H354" s="3">
        <f t="shared" si="16"/>
        <v>27.225000000000001</v>
      </c>
      <c r="I354" s="7">
        <v>4.5</v>
      </c>
      <c r="J354" s="5">
        <f t="shared" si="17"/>
        <v>512.77499999999998</v>
      </c>
    </row>
    <row r="355" spans="1:10" x14ac:dyDescent="0.35">
      <c r="A355" s="3" t="s">
        <v>363</v>
      </c>
      <c r="B355" s="6">
        <v>43574</v>
      </c>
      <c r="C355" s="10" t="s">
        <v>588</v>
      </c>
      <c r="D355" s="3" t="s">
        <v>19</v>
      </c>
      <c r="E355" s="4">
        <v>95.99</v>
      </c>
      <c r="F355" s="3">
        <v>26</v>
      </c>
      <c r="G355" s="3">
        <f t="shared" si="15"/>
        <v>2495.7399999999998</v>
      </c>
      <c r="H355" s="3">
        <f t="shared" si="16"/>
        <v>124.78699999999999</v>
      </c>
      <c r="I355" s="7">
        <v>8.99</v>
      </c>
      <c r="J355" s="5">
        <f t="shared" si="17"/>
        <v>2361.9630000000002</v>
      </c>
    </row>
    <row r="356" spans="1:10" x14ac:dyDescent="0.35">
      <c r="A356" s="3" t="s">
        <v>364</v>
      </c>
      <c r="B356" s="6">
        <v>43573</v>
      </c>
      <c r="C356" s="10" t="s">
        <v>588</v>
      </c>
      <c r="D356" s="3" t="s">
        <v>9</v>
      </c>
      <c r="E356" s="4">
        <v>3.08</v>
      </c>
      <c r="F356" s="3">
        <v>6</v>
      </c>
      <c r="G356" s="3">
        <f t="shared" si="15"/>
        <v>18.48</v>
      </c>
      <c r="H356" s="3">
        <f t="shared" si="16"/>
        <v>0.92400000000000004</v>
      </c>
      <c r="I356" s="7">
        <v>0.99</v>
      </c>
      <c r="J356" s="5">
        <f t="shared" si="17"/>
        <v>16.566000000000003</v>
      </c>
    </row>
    <row r="357" spans="1:10" x14ac:dyDescent="0.35">
      <c r="A357" s="3" t="s">
        <v>365</v>
      </c>
      <c r="B357" s="6">
        <v>43572</v>
      </c>
      <c r="C357" s="10" t="s">
        <v>588</v>
      </c>
      <c r="D357" s="3" t="s">
        <v>27</v>
      </c>
      <c r="E357" s="4">
        <v>12.98</v>
      </c>
      <c r="F357" s="3">
        <v>42</v>
      </c>
      <c r="G357" s="3">
        <f t="shared" si="15"/>
        <v>545.16</v>
      </c>
      <c r="H357" s="3">
        <f t="shared" si="16"/>
        <v>27.257999999999999</v>
      </c>
      <c r="I357" s="7">
        <v>3.14</v>
      </c>
      <c r="J357" s="5">
        <f t="shared" si="17"/>
        <v>514.76199999999994</v>
      </c>
    </row>
    <row r="358" spans="1:10" x14ac:dyDescent="0.35">
      <c r="A358" s="3" t="s">
        <v>366</v>
      </c>
      <c r="B358" s="6">
        <v>43571</v>
      </c>
      <c r="C358" s="10" t="s">
        <v>588</v>
      </c>
      <c r="D358" s="3" t="s">
        <v>9</v>
      </c>
      <c r="E358" s="4">
        <v>83.93</v>
      </c>
      <c r="F358" s="3">
        <v>3</v>
      </c>
      <c r="G358" s="3">
        <f t="shared" si="15"/>
        <v>251.79000000000002</v>
      </c>
      <c r="H358" s="3">
        <f t="shared" si="16"/>
        <v>12.589500000000001</v>
      </c>
      <c r="I358" s="7">
        <v>19.989999999999998</v>
      </c>
      <c r="J358" s="5">
        <f t="shared" si="17"/>
        <v>219.21050000000002</v>
      </c>
    </row>
    <row r="359" spans="1:10" x14ac:dyDescent="0.35">
      <c r="A359" s="3" t="s">
        <v>367</v>
      </c>
      <c r="B359" s="6">
        <v>43570</v>
      </c>
      <c r="C359" s="10" t="s">
        <v>588</v>
      </c>
      <c r="D359" s="3" t="s">
        <v>9</v>
      </c>
      <c r="E359" s="4">
        <v>3.69</v>
      </c>
      <c r="F359" s="3">
        <v>39</v>
      </c>
      <c r="G359" s="3">
        <f t="shared" si="15"/>
        <v>143.91</v>
      </c>
      <c r="H359" s="3">
        <f t="shared" si="16"/>
        <v>7.1955</v>
      </c>
      <c r="I359" s="7">
        <v>0.5</v>
      </c>
      <c r="J359" s="5">
        <f t="shared" si="17"/>
        <v>136.21449999999999</v>
      </c>
    </row>
    <row r="360" spans="1:10" x14ac:dyDescent="0.35">
      <c r="A360" s="3" t="s">
        <v>368</v>
      </c>
      <c r="B360" s="6">
        <v>43569</v>
      </c>
      <c r="C360" s="10" t="s">
        <v>588</v>
      </c>
      <c r="D360" s="3" t="s">
        <v>27</v>
      </c>
      <c r="E360" s="4">
        <v>210.55</v>
      </c>
      <c r="F360" s="3">
        <v>2</v>
      </c>
      <c r="G360" s="3">
        <f t="shared" si="15"/>
        <v>421.1</v>
      </c>
      <c r="H360" s="3">
        <f t="shared" si="16"/>
        <v>21.055000000000003</v>
      </c>
      <c r="I360" s="7">
        <v>9.99</v>
      </c>
      <c r="J360" s="5">
        <f t="shared" si="17"/>
        <v>390.05500000000001</v>
      </c>
    </row>
    <row r="361" spans="1:10" x14ac:dyDescent="0.35">
      <c r="A361" s="3" t="s">
        <v>369</v>
      </c>
      <c r="B361" s="6">
        <v>43568</v>
      </c>
      <c r="C361" s="10" t="s">
        <v>588</v>
      </c>
      <c r="D361" s="3" t="s">
        <v>9</v>
      </c>
      <c r="E361" s="4">
        <v>1.82</v>
      </c>
      <c r="F361" s="3">
        <v>42</v>
      </c>
      <c r="G361" s="3">
        <f t="shared" si="15"/>
        <v>76.44</v>
      </c>
      <c r="H361" s="3">
        <f t="shared" si="16"/>
        <v>3.8220000000000001</v>
      </c>
      <c r="I361" s="7">
        <v>1</v>
      </c>
      <c r="J361" s="5">
        <f t="shared" si="17"/>
        <v>71.617999999999995</v>
      </c>
    </row>
    <row r="362" spans="1:10" x14ac:dyDescent="0.35">
      <c r="A362" s="3" t="s">
        <v>370</v>
      </c>
      <c r="B362" s="6">
        <v>43567</v>
      </c>
      <c r="C362" s="10" t="s">
        <v>588</v>
      </c>
      <c r="D362" s="3" t="s">
        <v>9</v>
      </c>
      <c r="E362" s="4">
        <v>40.97</v>
      </c>
      <c r="F362" s="3">
        <v>28</v>
      </c>
      <c r="G362" s="3">
        <f t="shared" si="15"/>
        <v>1147.1599999999999</v>
      </c>
      <c r="H362" s="3">
        <f t="shared" si="16"/>
        <v>57.357999999999997</v>
      </c>
      <c r="I362" s="7">
        <v>8.99</v>
      </c>
      <c r="J362" s="5">
        <f t="shared" si="17"/>
        <v>1080.8119999999999</v>
      </c>
    </row>
    <row r="363" spans="1:10" x14ac:dyDescent="0.35">
      <c r="A363" s="3" t="s">
        <v>371</v>
      </c>
      <c r="B363" s="6">
        <v>43566</v>
      </c>
      <c r="C363" s="10" t="s">
        <v>588</v>
      </c>
      <c r="D363" s="3" t="s">
        <v>27</v>
      </c>
      <c r="E363" s="4">
        <v>8.6199999999999992</v>
      </c>
      <c r="F363" s="3">
        <v>8</v>
      </c>
      <c r="G363" s="3">
        <f t="shared" si="15"/>
        <v>68.959999999999994</v>
      </c>
      <c r="H363" s="3">
        <f t="shared" si="16"/>
        <v>3.448</v>
      </c>
      <c r="I363" s="7">
        <v>4.5</v>
      </c>
      <c r="J363" s="5">
        <f t="shared" si="17"/>
        <v>61.012</v>
      </c>
    </row>
    <row r="364" spans="1:10" x14ac:dyDescent="0.35">
      <c r="A364" s="3" t="s">
        <v>372</v>
      </c>
      <c r="B364" s="6">
        <v>43565</v>
      </c>
      <c r="C364" s="10" t="s">
        <v>588</v>
      </c>
      <c r="D364" s="3" t="s">
        <v>9</v>
      </c>
      <c r="E364" s="4">
        <v>15.98</v>
      </c>
      <c r="F364" s="3">
        <v>6</v>
      </c>
      <c r="G364" s="3">
        <f t="shared" si="15"/>
        <v>95.88</v>
      </c>
      <c r="H364" s="3">
        <f t="shared" si="16"/>
        <v>4.7939999999999996</v>
      </c>
      <c r="I364" s="7">
        <v>4</v>
      </c>
      <c r="J364" s="5">
        <f t="shared" si="17"/>
        <v>87.085999999999999</v>
      </c>
    </row>
    <row r="365" spans="1:10" x14ac:dyDescent="0.35">
      <c r="A365" s="3" t="s">
        <v>373</v>
      </c>
      <c r="B365" s="6">
        <v>43564</v>
      </c>
      <c r="C365" s="10" t="s">
        <v>588</v>
      </c>
      <c r="D365" s="3" t="s">
        <v>9</v>
      </c>
      <c r="E365" s="4">
        <v>3.52</v>
      </c>
      <c r="F365" s="3">
        <v>38</v>
      </c>
      <c r="G365" s="3">
        <f t="shared" si="15"/>
        <v>133.76</v>
      </c>
      <c r="H365" s="3">
        <f t="shared" si="16"/>
        <v>6.6879999999999997</v>
      </c>
      <c r="I365" s="7">
        <v>6.83</v>
      </c>
      <c r="J365" s="5">
        <f t="shared" si="17"/>
        <v>120.24199999999999</v>
      </c>
    </row>
    <row r="366" spans="1:10" x14ac:dyDescent="0.35">
      <c r="A366" s="3" t="s">
        <v>374</v>
      </c>
      <c r="B366" s="6">
        <v>43563</v>
      </c>
      <c r="C366" s="10" t="s">
        <v>588</v>
      </c>
      <c r="D366" s="3" t="s">
        <v>27</v>
      </c>
      <c r="E366" s="4">
        <v>5.74</v>
      </c>
      <c r="F366" s="3">
        <v>32</v>
      </c>
      <c r="G366" s="3">
        <f t="shared" si="15"/>
        <v>183.68</v>
      </c>
      <c r="H366" s="3">
        <f t="shared" si="16"/>
        <v>9.1840000000000011</v>
      </c>
      <c r="I366" s="7">
        <v>5.01</v>
      </c>
      <c r="J366" s="5">
        <f t="shared" si="17"/>
        <v>169.48600000000002</v>
      </c>
    </row>
    <row r="367" spans="1:10" x14ac:dyDescent="0.35">
      <c r="A367" s="3" t="s">
        <v>375</v>
      </c>
      <c r="B367" s="6">
        <v>43562</v>
      </c>
      <c r="C367" s="10" t="s">
        <v>588</v>
      </c>
      <c r="D367" s="3" t="s">
        <v>9</v>
      </c>
      <c r="E367" s="4">
        <v>7.08</v>
      </c>
      <c r="F367" s="3">
        <v>48</v>
      </c>
      <c r="G367" s="3">
        <f t="shared" si="15"/>
        <v>339.84000000000003</v>
      </c>
      <c r="H367" s="3">
        <f t="shared" si="16"/>
        <v>16.992000000000001</v>
      </c>
      <c r="I367" s="7">
        <v>2.35</v>
      </c>
      <c r="J367" s="5">
        <f t="shared" si="17"/>
        <v>320.49799999999999</v>
      </c>
    </row>
    <row r="368" spans="1:10" x14ac:dyDescent="0.35">
      <c r="A368" s="3" t="s">
        <v>376</v>
      </c>
      <c r="B368" s="6">
        <v>43561</v>
      </c>
      <c r="C368" s="10" t="s">
        <v>588</v>
      </c>
      <c r="D368" s="3" t="s">
        <v>9</v>
      </c>
      <c r="E368" s="4">
        <v>30.98</v>
      </c>
      <c r="F368" s="3">
        <v>8</v>
      </c>
      <c r="G368" s="3">
        <f t="shared" si="15"/>
        <v>247.84</v>
      </c>
      <c r="H368" s="3">
        <f t="shared" si="16"/>
        <v>12.392000000000001</v>
      </c>
      <c r="I368" s="7">
        <v>6.5</v>
      </c>
      <c r="J368" s="5">
        <f t="shared" si="17"/>
        <v>228.94800000000001</v>
      </c>
    </row>
    <row r="369" spans="1:10" x14ac:dyDescent="0.35">
      <c r="A369" s="3" t="s">
        <v>377</v>
      </c>
      <c r="B369" s="6">
        <v>43560</v>
      </c>
      <c r="C369" s="10" t="s">
        <v>588</v>
      </c>
      <c r="D369" s="3" t="s">
        <v>9</v>
      </c>
      <c r="E369" s="4">
        <v>599.99</v>
      </c>
      <c r="F369" s="3">
        <v>46</v>
      </c>
      <c r="G369" s="3">
        <f t="shared" si="15"/>
        <v>27599.54</v>
      </c>
      <c r="H369" s="3">
        <f t="shared" si="16"/>
        <v>1379.9770000000001</v>
      </c>
      <c r="I369" s="7">
        <v>24.49</v>
      </c>
      <c r="J369" s="5">
        <f t="shared" si="17"/>
        <v>26195.073</v>
      </c>
    </row>
    <row r="370" spans="1:10" x14ac:dyDescent="0.35">
      <c r="A370" s="3" t="s">
        <v>378</v>
      </c>
      <c r="B370" s="6">
        <v>43559</v>
      </c>
      <c r="C370" s="10" t="s">
        <v>588</v>
      </c>
      <c r="D370" s="3" t="s">
        <v>9</v>
      </c>
      <c r="E370" s="4">
        <v>2.94</v>
      </c>
      <c r="F370" s="3">
        <v>39</v>
      </c>
      <c r="G370" s="3">
        <f t="shared" si="15"/>
        <v>114.66</v>
      </c>
      <c r="H370" s="3">
        <f t="shared" si="16"/>
        <v>5.7330000000000005</v>
      </c>
      <c r="I370" s="7">
        <v>0.81</v>
      </c>
      <c r="J370" s="5">
        <f t="shared" si="17"/>
        <v>108.11699999999999</v>
      </c>
    </row>
    <row r="371" spans="1:10" x14ac:dyDescent="0.35">
      <c r="A371" s="3" t="s">
        <v>379</v>
      </c>
      <c r="B371" s="6">
        <v>43558</v>
      </c>
      <c r="C371" s="10" t="s">
        <v>588</v>
      </c>
      <c r="D371" s="3" t="s">
        <v>27</v>
      </c>
      <c r="E371" s="4">
        <v>15.98</v>
      </c>
      <c r="F371" s="3">
        <v>7</v>
      </c>
      <c r="G371" s="3">
        <f t="shared" si="15"/>
        <v>111.86</v>
      </c>
      <c r="H371" s="3">
        <f t="shared" si="16"/>
        <v>5.593</v>
      </c>
      <c r="I371" s="7">
        <v>4</v>
      </c>
      <c r="J371" s="5">
        <f t="shared" si="17"/>
        <v>102.267</v>
      </c>
    </row>
    <row r="372" spans="1:10" x14ac:dyDescent="0.35">
      <c r="A372" s="3" t="s">
        <v>380</v>
      </c>
      <c r="B372" s="6">
        <v>43476</v>
      </c>
      <c r="C372" s="10" t="s">
        <v>8</v>
      </c>
      <c r="D372" s="3" t="s">
        <v>27</v>
      </c>
      <c r="E372" s="4">
        <v>415.88</v>
      </c>
      <c r="F372" s="3">
        <v>11</v>
      </c>
      <c r="G372" s="3">
        <f t="shared" si="15"/>
        <v>4574.68</v>
      </c>
      <c r="H372" s="3">
        <f t="shared" si="16"/>
        <v>228.73400000000004</v>
      </c>
      <c r="I372" s="7">
        <v>11.37</v>
      </c>
      <c r="J372" s="5">
        <f t="shared" si="17"/>
        <v>4334.576</v>
      </c>
    </row>
    <row r="373" spans="1:10" x14ac:dyDescent="0.35">
      <c r="A373" s="3" t="s">
        <v>381</v>
      </c>
      <c r="B373" s="6">
        <v>43475</v>
      </c>
      <c r="C373" s="10" t="s">
        <v>11</v>
      </c>
      <c r="D373" s="3" t="s">
        <v>27</v>
      </c>
      <c r="E373" s="4">
        <v>3.14</v>
      </c>
      <c r="F373" s="3">
        <v>50</v>
      </c>
      <c r="G373" s="3">
        <f t="shared" si="15"/>
        <v>157</v>
      </c>
      <c r="H373" s="3">
        <f t="shared" si="16"/>
        <v>7.8500000000000005</v>
      </c>
      <c r="I373" s="7">
        <v>1.1399999999999999</v>
      </c>
      <c r="J373" s="5">
        <f t="shared" si="17"/>
        <v>148.01000000000002</v>
      </c>
    </row>
    <row r="374" spans="1:10" x14ac:dyDescent="0.35">
      <c r="A374" s="3" t="s">
        <v>382</v>
      </c>
      <c r="B374" s="6">
        <v>43474</v>
      </c>
      <c r="C374" s="10" t="s">
        <v>8</v>
      </c>
      <c r="D374" s="3" t="s">
        <v>27</v>
      </c>
      <c r="E374" s="4">
        <v>10.23</v>
      </c>
      <c r="F374" s="3">
        <v>46</v>
      </c>
      <c r="G374" s="3">
        <f t="shared" si="15"/>
        <v>470.58000000000004</v>
      </c>
      <c r="H374" s="3">
        <f t="shared" si="16"/>
        <v>23.529000000000003</v>
      </c>
      <c r="I374" s="7">
        <v>4.68</v>
      </c>
      <c r="J374" s="5">
        <f t="shared" si="17"/>
        <v>442.37100000000004</v>
      </c>
    </row>
    <row r="375" spans="1:10" x14ac:dyDescent="0.35">
      <c r="A375" s="3" t="s">
        <v>383</v>
      </c>
      <c r="B375" s="6">
        <v>43473</v>
      </c>
      <c r="C375" s="10" t="s">
        <v>8</v>
      </c>
      <c r="D375" s="3" t="s">
        <v>27</v>
      </c>
      <c r="E375" s="4">
        <v>5.98</v>
      </c>
      <c r="F375" s="3">
        <v>4</v>
      </c>
      <c r="G375" s="3">
        <f t="shared" si="15"/>
        <v>23.92</v>
      </c>
      <c r="H375" s="3">
        <f t="shared" si="16"/>
        <v>1.1960000000000002</v>
      </c>
      <c r="I375" s="7">
        <v>1.49</v>
      </c>
      <c r="J375" s="5">
        <f t="shared" si="17"/>
        <v>21.234000000000002</v>
      </c>
    </row>
    <row r="376" spans="1:10" x14ac:dyDescent="0.35">
      <c r="A376" s="3" t="s">
        <v>384</v>
      </c>
      <c r="B376" s="6">
        <v>43472</v>
      </c>
      <c r="C376" s="10" t="s">
        <v>11</v>
      </c>
      <c r="D376" s="3" t="s">
        <v>27</v>
      </c>
      <c r="E376" s="4">
        <v>22.38</v>
      </c>
      <c r="F376" s="3">
        <v>45</v>
      </c>
      <c r="G376" s="3">
        <f t="shared" si="15"/>
        <v>1007.0999999999999</v>
      </c>
      <c r="H376" s="3">
        <f t="shared" si="16"/>
        <v>50.354999999999997</v>
      </c>
      <c r="I376" s="7">
        <v>15.1</v>
      </c>
      <c r="J376" s="5">
        <f t="shared" si="17"/>
        <v>941.64499999999987</v>
      </c>
    </row>
    <row r="377" spans="1:10" x14ac:dyDescent="0.35">
      <c r="A377" s="3" t="s">
        <v>385</v>
      </c>
      <c r="B377" s="6">
        <v>43471</v>
      </c>
      <c r="C377" s="10" t="s">
        <v>8</v>
      </c>
      <c r="D377" s="3" t="s">
        <v>27</v>
      </c>
      <c r="E377" s="4">
        <v>210.55</v>
      </c>
      <c r="F377" s="3">
        <v>18</v>
      </c>
      <c r="G377" s="3">
        <f t="shared" si="15"/>
        <v>3789.9</v>
      </c>
      <c r="H377" s="3">
        <f t="shared" si="16"/>
        <v>189.495</v>
      </c>
      <c r="I377" s="7">
        <v>9.99</v>
      </c>
      <c r="J377" s="5">
        <f t="shared" si="17"/>
        <v>3590.4150000000004</v>
      </c>
    </row>
    <row r="378" spans="1:10" x14ac:dyDescent="0.35">
      <c r="A378" s="3" t="s">
        <v>386</v>
      </c>
      <c r="B378" s="6">
        <v>43470</v>
      </c>
      <c r="C378" s="10" t="s">
        <v>11</v>
      </c>
      <c r="D378" s="3" t="s">
        <v>27</v>
      </c>
      <c r="E378" s="4">
        <v>15.98</v>
      </c>
      <c r="F378" s="3">
        <v>26</v>
      </c>
      <c r="G378" s="3">
        <f t="shared" si="15"/>
        <v>415.48</v>
      </c>
      <c r="H378" s="3">
        <f t="shared" si="16"/>
        <v>20.774000000000001</v>
      </c>
      <c r="I378" s="7">
        <v>4</v>
      </c>
      <c r="J378" s="5">
        <f t="shared" si="17"/>
        <v>390.70600000000002</v>
      </c>
    </row>
    <row r="379" spans="1:10" x14ac:dyDescent="0.35">
      <c r="A379" s="3" t="s">
        <v>387</v>
      </c>
      <c r="B379" s="6">
        <v>43469</v>
      </c>
      <c r="C379" s="10" t="s">
        <v>8</v>
      </c>
      <c r="D379" s="3" t="s">
        <v>27</v>
      </c>
      <c r="E379" s="4">
        <v>8.34</v>
      </c>
      <c r="F379" s="3">
        <v>21</v>
      </c>
      <c r="G379" s="3">
        <f t="shared" si="15"/>
        <v>175.14</v>
      </c>
      <c r="H379" s="3">
        <f t="shared" si="16"/>
        <v>8.7569999999999997</v>
      </c>
      <c r="I379" s="7">
        <v>2.64</v>
      </c>
      <c r="J379" s="5">
        <f t="shared" si="17"/>
        <v>163.74299999999999</v>
      </c>
    </row>
    <row r="380" spans="1:10" x14ac:dyDescent="0.35">
      <c r="A380" s="3" t="s">
        <v>388</v>
      </c>
      <c r="B380" s="6">
        <v>43467</v>
      </c>
      <c r="C380" s="10" t="s">
        <v>11</v>
      </c>
      <c r="D380" s="3" t="s">
        <v>27</v>
      </c>
      <c r="E380" s="4">
        <v>3.58</v>
      </c>
      <c r="F380" s="3">
        <v>7</v>
      </c>
      <c r="G380" s="3">
        <f t="shared" si="15"/>
        <v>25.060000000000002</v>
      </c>
      <c r="H380" s="3">
        <f t="shared" si="16"/>
        <v>1.2530000000000001</v>
      </c>
      <c r="I380" s="7">
        <v>5.47</v>
      </c>
      <c r="J380" s="5">
        <f t="shared" si="17"/>
        <v>18.337000000000003</v>
      </c>
    </row>
    <row r="381" spans="1:10" x14ac:dyDescent="0.35">
      <c r="A381" s="3" t="s">
        <v>389</v>
      </c>
      <c r="B381" s="6">
        <v>43466</v>
      </c>
      <c r="C381" s="10" t="s">
        <v>8</v>
      </c>
      <c r="D381" s="3" t="s">
        <v>27</v>
      </c>
      <c r="E381" s="4">
        <v>2.88</v>
      </c>
      <c r="F381" s="3">
        <v>29</v>
      </c>
      <c r="G381" s="3">
        <f t="shared" si="15"/>
        <v>83.52</v>
      </c>
      <c r="H381" s="3">
        <f t="shared" si="16"/>
        <v>4.1760000000000002</v>
      </c>
      <c r="I381" s="7">
        <v>0.99</v>
      </c>
      <c r="J381" s="5">
        <f t="shared" si="17"/>
        <v>78.353999999999999</v>
      </c>
    </row>
    <row r="382" spans="1:10" x14ac:dyDescent="0.35">
      <c r="A382" s="3" t="s">
        <v>390</v>
      </c>
      <c r="B382" s="6">
        <v>43464</v>
      </c>
      <c r="C382" s="10" t="s">
        <v>11</v>
      </c>
      <c r="D382" s="3" t="s">
        <v>27</v>
      </c>
      <c r="E382" s="4">
        <v>500.97</v>
      </c>
      <c r="F382" s="3">
        <v>44</v>
      </c>
      <c r="G382" s="3">
        <f t="shared" si="15"/>
        <v>22042.68</v>
      </c>
      <c r="H382" s="3">
        <f t="shared" si="16"/>
        <v>1102.134</v>
      </c>
      <c r="I382" s="7">
        <v>69.3</v>
      </c>
      <c r="J382" s="5">
        <f t="shared" si="17"/>
        <v>20871.246000000003</v>
      </c>
    </row>
    <row r="383" spans="1:10" x14ac:dyDescent="0.35">
      <c r="A383" s="3" t="s">
        <v>391</v>
      </c>
      <c r="B383" s="6">
        <v>43463</v>
      </c>
      <c r="C383" s="10" t="s">
        <v>11</v>
      </c>
      <c r="D383" s="3" t="s">
        <v>27</v>
      </c>
      <c r="E383" s="4">
        <v>22.38</v>
      </c>
      <c r="F383" s="3">
        <v>6</v>
      </c>
      <c r="G383" s="3">
        <f t="shared" si="15"/>
        <v>134.28</v>
      </c>
      <c r="H383" s="3">
        <f t="shared" si="16"/>
        <v>6.7140000000000004</v>
      </c>
      <c r="I383" s="7">
        <v>15.1</v>
      </c>
      <c r="J383" s="5">
        <f t="shared" si="17"/>
        <v>112.46600000000001</v>
      </c>
    </row>
    <row r="384" spans="1:10" x14ac:dyDescent="0.35">
      <c r="A384" s="3" t="s">
        <v>392</v>
      </c>
      <c r="B384" s="6">
        <v>43462</v>
      </c>
      <c r="C384" s="10" t="s">
        <v>11</v>
      </c>
      <c r="D384" s="3" t="s">
        <v>27</v>
      </c>
      <c r="E384" s="4">
        <v>1.26</v>
      </c>
      <c r="F384" s="3">
        <v>35</v>
      </c>
      <c r="G384" s="3">
        <f t="shared" si="15"/>
        <v>44.1</v>
      </c>
      <c r="H384" s="3">
        <f t="shared" si="16"/>
        <v>2.2050000000000001</v>
      </c>
      <c r="I384" s="7">
        <v>0.7</v>
      </c>
      <c r="J384" s="5">
        <f t="shared" si="17"/>
        <v>41.195</v>
      </c>
    </row>
    <row r="385" spans="1:10" x14ac:dyDescent="0.35">
      <c r="A385" s="3" t="s">
        <v>393</v>
      </c>
      <c r="B385" s="6">
        <v>43461</v>
      </c>
      <c r="C385" s="10" t="s">
        <v>11</v>
      </c>
      <c r="D385" s="3" t="s">
        <v>27</v>
      </c>
      <c r="E385" s="4">
        <v>4.26</v>
      </c>
      <c r="F385" s="3">
        <v>8</v>
      </c>
      <c r="G385" s="3">
        <f t="shared" si="15"/>
        <v>34.08</v>
      </c>
      <c r="H385" s="3">
        <f t="shared" si="16"/>
        <v>1.704</v>
      </c>
      <c r="I385" s="7">
        <v>1.2</v>
      </c>
      <c r="J385" s="5">
        <f t="shared" si="17"/>
        <v>31.175999999999998</v>
      </c>
    </row>
    <row r="386" spans="1:10" x14ac:dyDescent="0.35">
      <c r="A386" s="3" t="s">
        <v>394</v>
      </c>
      <c r="B386" s="6">
        <v>43460</v>
      </c>
      <c r="C386" s="10" t="s">
        <v>11</v>
      </c>
      <c r="D386" s="3" t="s">
        <v>27</v>
      </c>
      <c r="E386" s="4">
        <v>449.99</v>
      </c>
      <c r="F386" s="3">
        <v>2</v>
      </c>
      <c r="G386" s="3">
        <f t="shared" si="15"/>
        <v>899.98</v>
      </c>
      <c r="H386" s="3">
        <f t="shared" si="16"/>
        <v>44.999000000000002</v>
      </c>
      <c r="I386" s="7">
        <v>24.49</v>
      </c>
      <c r="J386" s="5">
        <f t="shared" si="17"/>
        <v>830.49099999999999</v>
      </c>
    </row>
    <row r="387" spans="1:10" x14ac:dyDescent="0.35">
      <c r="A387" s="3" t="s">
        <v>395</v>
      </c>
      <c r="B387" s="6">
        <v>43459</v>
      </c>
      <c r="C387" s="10" t="s">
        <v>8</v>
      </c>
      <c r="D387" s="3" t="s">
        <v>27</v>
      </c>
      <c r="E387" s="4">
        <v>3.38</v>
      </c>
      <c r="F387" s="3">
        <v>31</v>
      </c>
      <c r="G387" s="3">
        <f t="shared" ref="G387:G450" si="18">E387*F387</f>
        <v>104.78</v>
      </c>
      <c r="H387" s="3">
        <f t="shared" ref="H387:H450" si="19">G387*5%</f>
        <v>5.2390000000000008</v>
      </c>
      <c r="I387" s="7">
        <v>0.85</v>
      </c>
      <c r="J387" s="5">
        <f t="shared" ref="J387:J450" si="20">G387-H387-I387</f>
        <v>98.691000000000003</v>
      </c>
    </row>
    <row r="388" spans="1:10" x14ac:dyDescent="0.35">
      <c r="A388" s="3" t="s">
        <v>396</v>
      </c>
      <c r="B388" s="6">
        <v>43458</v>
      </c>
      <c r="C388" s="10" t="s">
        <v>8</v>
      </c>
      <c r="D388" s="3" t="s">
        <v>27</v>
      </c>
      <c r="E388" s="4">
        <v>599.99</v>
      </c>
      <c r="F388" s="3">
        <v>50</v>
      </c>
      <c r="G388" s="3">
        <f t="shared" si="18"/>
        <v>29999.5</v>
      </c>
      <c r="H388" s="3">
        <f t="shared" si="19"/>
        <v>1499.9750000000001</v>
      </c>
      <c r="I388" s="7">
        <v>24.49</v>
      </c>
      <c r="J388" s="5">
        <f t="shared" si="20"/>
        <v>28475.035</v>
      </c>
    </row>
    <row r="389" spans="1:10" x14ac:dyDescent="0.35">
      <c r="A389" s="3" t="s">
        <v>397</v>
      </c>
      <c r="B389" s="6">
        <v>43457</v>
      </c>
      <c r="C389" s="10" t="s">
        <v>8</v>
      </c>
      <c r="D389" s="3" t="s">
        <v>27</v>
      </c>
      <c r="E389" s="4">
        <v>5.84</v>
      </c>
      <c r="F389" s="3">
        <v>12</v>
      </c>
      <c r="G389" s="3">
        <f t="shared" si="18"/>
        <v>70.08</v>
      </c>
      <c r="H389" s="3">
        <f t="shared" si="19"/>
        <v>3.504</v>
      </c>
      <c r="I389" s="7">
        <v>0.83</v>
      </c>
      <c r="J389" s="5">
        <f t="shared" si="20"/>
        <v>65.745999999999995</v>
      </c>
    </row>
    <row r="390" spans="1:10" x14ac:dyDescent="0.35">
      <c r="A390" s="3" t="s">
        <v>398</v>
      </c>
      <c r="B390" s="6">
        <v>43456</v>
      </c>
      <c r="C390" s="10" t="s">
        <v>8</v>
      </c>
      <c r="D390" s="3" t="s">
        <v>27</v>
      </c>
      <c r="E390" s="4">
        <v>19.98</v>
      </c>
      <c r="F390" s="3">
        <v>6</v>
      </c>
      <c r="G390" s="3">
        <f t="shared" si="18"/>
        <v>119.88</v>
      </c>
      <c r="H390" s="3">
        <f t="shared" si="19"/>
        <v>5.9939999999999998</v>
      </c>
      <c r="I390" s="7">
        <v>4</v>
      </c>
      <c r="J390" s="5">
        <f t="shared" si="20"/>
        <v>109.886</v>
      </c>
    </row>
    <row r="391" spans="1:10" x14ac:dyDescent="0.35">
      <c r="A391" s="3" t="s">
        <v>399</v>
      </c>
      <c r="B391" s="6">
        <v>43455</v>
      </c>
      <c r="C391" s="10" t="s">
        <v>11</v>
      </c>
      <c r="D391" s="3" t="s">
        <v>27</v>
      </c>
      <c r="E391" s="4">
        <v>5.53</v>
      </c>
      <c r="F391" s="3">
        <v>30</v>
      </c>
      <c r="G391" s="3">
        <f t="shared" si="18"/>
        <v>165.9</v>
      </c>
      <c r="H391" s="3">
        <f t="shared" si="19"/>
        <v>8.2949999999999999</v>
      </c>
      <c r="I391" s="7">
        <v>6.98</v>
      </c>
      <c r="J391" s="5">
        <f t="shared" si="20"/>
        <v>150.62500000000003</v>
      </c>
    </row>
    <row r="392" spans="1:10" x14ac:dyDescent="0.35">
      <c r="A392" s="3" t="s">
        <v>400</v>
      </c>
      <c r="B392" s="6">
        <v>43454</v>
      </c>
      <c r="C392" s="10" t="s">
        <v>11</v>
      </c>
      <c r="D392" s="3" t="s">
        <v>27</v>
      </c>
      <c r="E392" s="4">
        <v>5.53</v>
      </c>
      <c r="F392" s="3">
        <v>27</v>
      </c>
      <c r="G392" s="3">
        <f t="shared" si="18"/>
        <v>149.31</v>
      </c>
      <c r="H392" s="3">
        <f t="shared" si="19"/>
        <v>7.4655000000000005</v>
      </c>
      <c r="I392" s="7">
        <v>6.98</v>
      </c>
      <c r="J392" s="5">
        <f t="shared" si="20"/>
        <v>134.86450000000002</v>
      </c>
    </row>
    <row r="393" spans="1:10" x14ac:dyDescent="0.35">
      <c r="A393" s="3" t="s">
        <v>401</v>
      </c>
      <c r="B393" s="6">
        <v>43453</v>
      </c>
      <c r="C393" s="10" t="s">
        <v>8</v>
      </c>
      <c r="D393" s="3" t="s">
        <v>27</v>
      </c>
      <c r="E393" s="4">
        <v>5.74</v>
      </c>
      <c r="F393" s="3">
        <v>23</v>
      </c>
      <c r="G393" s="3">
        <f t="shared" si="18"/>
        <v>132.02000000000001</v>
      </c>
      <c r="H393" s="3">
        <f t="shared" si="19"/>
        <v>6.6010000000000009</v>
      </c>
      <c r="I393" s="7">
        <v>5.01</v>
      </c>
      <c r="J393" s="5">
        <f t="shared" si="20"/>
        <v>120.40900000000001</v>
      </c>
    </row>
    <row r="394" spans="1:10" x14ac:dyDescent="0.35">
      <c r="A394" s="3" t="s">
        <v>402</v>
      </c>
      <c r="B394" s="6">
        <v>43451</v>
      </c>
      <c r="C394" s="10" t="s">
        <v>8</v>
      </c>
      <c r="D394" s="3" t="s">
        <v>27</v>
      </c>
      <c r="E394" s="4">
        <v>15.98</v>
      </c>
      <c r="F394" s="3">
        <v>40</v>
      </c>
      <c r="G394" s="3">
        <f t="shared" si="18"/>
        <v>639.20000000000005</v>
      </c>
      <c r="H394" s="3">
        <f t="shared" si="19"/>
        <v>31.960000000000004</v>
      </c>
      <c r="I394" s="7">
        <v>4</v>
      </c>
      <c r="J394" s="5">
        <f t="shared" si="20"/>
        <v>603.24</v>
      </c>
    </row>
    <row r="395" spans="1:10" x14ac:dyDescent="0.35">
      <c r="A395" s="3" t="s">
        <v>403</v>
      </c>
      <c r="B395" s="6">
        <v>43449</v>
      </c>
      <c r="C395" s="10" t="s">
        <v>8</v>
      </c>
      <c r="D395" s="3" t="s">
        <v>27</v>
      </c>
      <c r="E395" s="4">
        <v>19.98</v>
      </c>
      <c r="F395" s="3">
        <v>35</v>
      </c>
      <c r="G395" s="3">
        <f t="shared" si="18"/>
        <v>699.30000000000007</v>
      </c>
      <c r="H395" s="3">
        <f t="shared" si="19"/>
        <v>34.965000000000003</v>
      </c>
      <c r="I395" s="7">
        <v>4</v>
      </c>
      <c r="J395" s="5">
        <f t="shared" si="20"/>
        <v>660.33500000000004</v>
      </c>
    </row>
    <row r="396" spans="1:10" x14ac:dyDescent="0.35">
      <c r="A396" s="3" t="s">
        <v>404</v>
      </c>
      <c r="B396" s="6">
        <v>43447</v>
      </c>
      <c r="C396" s="10" t="s">
        <v>8</v>
      </c>
      <c r="D396" s="3" t="s">
        <v>27</v>
      </c>
      <c r="E396" s="4">
        <v>5.53</v>
      </c>
      <c r="F396" s="3">
        <v>9</v>
      </c>
      <c r="G396" s="3">
        <f t="shared" si="18"/>
        <v>49.77</v>
      </c>
      <c r="H396" s="3">
        <f t="shared" si="19"/>
        <v>2.4885000000000002</v>
      </c>
      <c r="I396" s="7">
        <v>6.98</v>
      </c>
      <c r="J396" s="5">
        <f t="shared" si="20"/>
        <v>40.301500000000004</v>
      </c>
    </row>
    <row r="397" spans="1:10" x14ac:dyDescent="0.35">
      <c r="A397" s="3" t="s">
        <v>405</v>
      </c>
      <c r="B397" s="6">
        <v>43445</v>
      </c>
      <c r="C397" s="10" t="s">
        <v>8</v>
      </c>
      <c r="D397" s="3" t="s">
        <v>27</v>
      </c>
      <c r="E397" s="4">
        <v>120.97</v>
      </c>
      <c r="F397" s="3">
        <v>38</v>
      </c>
      <c r="G397" s="3">
        <f t="shared" si="18"/>
        <v>4596.8599999999997</v>
      </c>
      <c r="H397" s="3">
        <f t="shared" si="19"/>
        <v>229.84299999999999</v>
      </c>
      <c r="I397" s="7">
        <v>26.3</v>
      </c>
      <c r="J397" s="5">
        <f t="shared" si="20"/>
        <v>4340.7169999999996</v>
      </c>
    </row>
    <row r="398" spans="1:10" x14ac:dyDescent="0.35">
      <c r="A398" s="3" t="s">
        <v>406</v>
      </c>
      <c r="B398" s="6">
        <v>43444</v>
      </c>
      <c r="C398" s="10" t="s">
        <v>11</v>
      </c>
      <c r="D398" s="3" t="s">
        <v>27</v>
      </c>
      <c r="E398" s="4">
        <v>3.98</v>
      </c>
      <c r="F398" s="3">
        <v>2</v>
      </c>
      <c r="G398" s="3">
        <f t="shared" si="18"/>
        <v>7.96</v>
      </c>
      <c r="H398" s="3">
        <f t="shared" si="19"/>
        <v>0.39800000000000002</v>
      </c>
      <c r="I398" s="7">
        <v>2.97</v>
      </c>
      <c r="J398" s="5">
        <f t="shared" si="20"/>
        <v>4.5920000000000005</v>
      </c>
    </row>
    <row r="399" spans="1:10" x14ac:dyDescent="0.35">
      <c r="A399" s="3" t="s">
        <v>407</v>
      </c>
      <c r="B399" s="6">
        <v>43443</v>
      </c>
      <c r="C399" s="10" t="s">
        <v>11</v>
      </c>
      <c r="D399" s="3" t="s">
        <v>27</v>
      </c>
      <c r="E399" s="4">
        <v>100.97</v>
      </c>
      <c r="F399" s="3">
        <v>13</v>
      </c>
      <c r="G399" s="3">
        <f t="shared" si="18"/>
        <v>1312.61</v>
      </c>
      <c r="H399" s="3">
        <f t="shared" si="19"/>
        <v>65.630499999999998</v>
      </c>
      <c r="I399" s="7">
        <v>7.18</v>
      </c>
      <c r="J399" s="5">
        <f t="shared" si="20"/>
        <v>1239.7994999999999</v>
      </c>
    </row>
    <row r="400" spans="1:10" x14ac:dyDescent="0.35">
      <c r="A400" s="3" t="s">
        <v>408</v>
      </c>
      <c r="B400" s="6">
        <v>43442</v>
      </c>
      <c r="C400" s="10" t="s">
        <v>11</v>
      </c>
      <c r="D400" s="3" t="s">
        <v>27</v>
      </c>
      <c r="E400" s="4">
        <v>20.99</v>
      </c>
      <c r="F400" s="3">
        <v>45</v>
      </c>
      <c r="G400" s="3">
        <f t="shared" si="18"/>
        <v>944.55</v>
      </c>
      <c r="H400" s="3">
        <f t="shared" si="19"/>
        <v>47.227499999999999</v>
      </c>
      <c r="I400" s="7">
        <v>4.8099999999999996</v>
      </c>
      <c r="J400" s="5">
        <f t="shared" si="20"/>
        <v>892.51250000000005</v>
      </c>
    </row>
    <row r="401" spans="1:10" x14ac:dyDescent="0.35">
      <c r="A401" s="3" t="s">
        <v>409</v>
      </c>
      <c r="B401" s="6">
        <v>43441</v>
      </c>
      <c r="C401" s="10" t="s">
        <v>8</v>
      </c>
      <c r="D401" s="3" t="s">
        <v>27</v>
      </c>
      <c r="E401" s="4">
        <v>2.78</v>
      </c>
      <c r="F401" s="3">
        <v>34</v>
      </c>
      <c r="G401" s="3">
        <f t="shared" si="18"/>
        <v>94.52</v>
      </c>
      <c r="H401" s="3">
        <f t="shared" si="19"/>
        <v>4.726</v>
      </c>
      <c r="I401" s="7">
        <v>1.34</v>
      </c>
      <c r="J401" s="5">
        <f t="shared" si="20"/>
        <v>88.453999999999994</v>
      </c>
    </row>
    <row r="402" spans="1:10" x14ac:dyDescent="0.35">
      <c r="A402" s="3" t="s">
        <v>410</v>
      </c>
      <c r="B402" s="6">
        <v>43440</v>
      </c>
      <c r="C402" s="10" t="s">
        <v>8</v>
      </c>
      <c r="D402" s="3" t="s">
        <v>27</v>
      </c>
      <c r="E402" s="4">
        <v>5.53</v>
      </c>
      <c r="F402" s="3">
        <v>23</v>
      </c>
      <c r="G402" s="3">
        <f t="shared" si="18"/>
        <v>127.19000000000001</v>
      </c>
      <c r="H402" s="3">
        <f t="shared" si="19"/>
        <v>6.3595000000000006</v>
      </c>
      <c r="I402" s="7">
        <v>6.98</v>
      </c>
      <c r="J402" s="5">
        <f t="shared" si="20"/>
        <v>113.85050000000001</v>
      </c>
    </row>
    <row r="403" spans="1:10" x14ac:dyDescent="0.35">
      <c r="A403" s="3" t="s">
        <v>411</v>
      </c>
      <c r="B403" s="6">
        <v>43439</v>
      </c>
      <c r="C403" s="10" t="s">
        <v>11</v>
      </c>
      <c r="D403" s="3" t="s">
        <v>27</v>
      </c>
      <c r="E403" s="4">
        <v>5.68</v>
      </c>
      <c r="F403" s="3">
        <v>8</v>
      </c>
      <c r="G403" s="3">
        <f t="shared" si="18"/>
        <v>45.44</v>
      </c>
      <c r="H403" s="3">
        <f t="shared" si="19"/>
        <v>2.2719999999999998</v>
      </c>
      <c r="I403" s="7">
        <v>1.39</v>
      </c>
      <c r="J403" s="5">
        <f t="shared" si="20"/>
        <v>41.777999999999999</v>
      </c>
    </row>
    <row r="404" spans="1:10" x14ac:dyDescent="0.35">
      <c r="A404" s="3" t="s">
        <v>412</v>
      </c>
      <c r="B404" s="6">
        <v>43438</v>
      </c>
      <c r="C404" s="10" t="s">
        <v>8</v>
      </c>
      <c r="D404" s="3" t="s">
        <v>27</v>
      </c>
      <c r="E404" s="4">
        <v>7.28</v>
      </c>
      <c r="F404" s="3">
        <v>40</v>
      </c>
      <c r="G404" s="3">
        <f t="shared" si="18"/>
        <v>291.2</v>
      </c>
      <c r="H404" s="3">
        <f t="shared" si="19"/>
        <v>14.56</v>
      </c>
      <c r="I404" s="7">
        <v>11.15</v>
      </c>
      <c r="J404" s="5">
        <f t="shared" si="20"/>
        <v>265.49</v>
      </c>
    </row>
    <row r="405" spans="1:10" x14ac:dyDescent="0.35">
      <c r="A405" s="3" t="s">
        <v>413</v>
      </c>
      <c r="B405" s="6">
        <v>43437</v>
      </c>
      <c r="C405" s="10" t="s">
        <v>11</v>
      </c>
      <c r="D405" s="3" t="s">
        <v>27</v>
      </c>
      <c r="E405" s="4">
        <v>7.08</v>
      </c>
      <c r="F405" s="3">
        <v>31</v>
      </c>
      <c r="G405" s="3">
        <f t="shared" si="18"/>
        <v>219.48</v>
      </c>
      <c r="H405" s="3">
        <f t="shared" si="19"/>
        <v>10.974</v>
      </c>
      <c r="I405" s="7">
        <v>2.35</v>
      </c>
      <c r="J405" s="5">
        <f t="shared" si="20"/>
        <v>206.15600000000001</v>
      </c>
    </row>
    <row r="406" spans="1:10" x14ac:dyDescent="0.35">
      <c r="A406" s="3" t="s">
        <v>414</v>
      </c>
      <c r="B406" s="6">
        <v>43436</v>
      </c>
      <c r="C406" s="10" t="s">
        <v>11</v>
      </c>
      <c r="D406" s="3" t="s">
        <v>27</v>
      </c>
      <c r="E406" s="4">
        <v>29.1</v>
      </c>
      <c r="F406" s="3">
        <v>50</v>
      </c>
      <c r="G406" s="3">
        <f t="shared" si="18"/>
        <v>1455</v>
      </c>
      <c r="H406" s="3">
        <f t="shared" si="19"/>
        <v>72.75</v>
      </c>
      <c r="I406" s="7">
        <v>4</v>
      </c>
      <c r="J406" s="5">
        <f t="shared" si="20"/>
        <v>1378.25</v>
      </c>
    </row>
    <row r="407" spans="1:10" x14ac:dyDescent="0.35">
      <c r="A407" s="3" t="s">
        <v>415</v>
      </c>
      <c r="B407" s="6">
        <v>43435</v>
      </c>
      <c r="C407" s="10" t="s">
        <v>8</v>
      </c>
      <c r="D407" s="3" t="s">
        <v>27</v>
      </c>
      <c r="E407" s="4">
        <v>6.84</v>
      </c>
      <c r="F407" s="3">
        <v>35</v>
      </c>
      <c r="G407" s="3">
        <f t="shared" si="18"/>
        <v>239.4</v>
      </c>
      <c r="H407" s="3">
        <f t="shared" si="19"/>
        <v>11.97</v>
      </c>
      <c r="I407" s="7">
        <v>4.42</v>
      </c>
      <c r="J407" s="5">
        <f t="shared" si="20"/>
        <v>223.01000000000002</v>
      </c>
    </row>
    <row r="408" spans="1:10" x14ac:dyDescent="0.35">
      <c r="A408" s="3" t="s">
        <v>416</v>
      </c>
      <c r="B408" s="6">
        <v>43434</v>
      </c>
      <c r="C408" s="10" t="s">
        <v>8</v>
      </c>
      <c r="D408" s="3" t="s">
        <v>27</v>
      </c>
      <c r="E408" s="4">
        <v>36.549999999999997</v>
      </c>
      <c r="F408" s="3">
        <v>2</v>
      </c>
      <c r="G408" s="3">
        <f t="shared" si="18"/>
        <v>73.099999999999994</v>
      </c>
      <c r="H408" s="3">
        <f t="shared" si="19"/>
        <v>3.6549999999999998</v>
      </c>
      <c r="I408" s="7">
        <v>13.89</v>
      </c>
      <c r="J408" s="5">
        <f t="shared" si="20"/>
        <v>55.554999999999993</v>
      </c>
    </row>
    <row r="409" spans="1:10" x14ac:dyDescent="0.35">
      <c r="A409" s="3" t="s">
        <v>417</v>
      </c>
      <c r="B409" s="6">
        <v>43433</v>
      </c>
      <c r="C409" s="10" t="s">
        <v>11</v>
      </c>
      <c r="D409" s="3" t="s">
        <v>27</v>
      </c>
      <c r="E409" s="4">
        <v>19.98</v>
      </c>
      <c r="F409" s="3">
        <v>32</v>
      </c>
      <c r="G409" s="3">
        <f t="shared" si="18"/>
        <v>639.36</v>
      </c>
      <c r="H409" s="3">
        <f t="shared" si="19"/>
        <v>31.968000000000004</v>
      </c>
      <c r="I409" s="7">
        <v>5.77</v>
      </c>
      <c r="J409" s="5">
        <f t="shared" si="20"/>
        <v>601.62200000000007</v>
      </c>
    </row>
    <row r="410" spans="1:10" x14ac:dyDescent="0.35">
      <c r="A410" s="3" t="s">
        <v>418</v>
      </c>
      <c r="B410" s="6">
        <v>43432</v>
      </c>
      <c r="C410" s="10" t="s">
        <v>8</v>
      </c>
      <c r="D410" s="3" t="s">
        <v>27</v>
      </c>
      <c r="E410" s="4">
        <v>500.97</v>
      </c>
      <c r="F410" s="3">
        <v>3</v>
      </c>
      <c r="G410" s="3">
        <f t="shared" si="18"/>
        <v>1502.91</v>
      </c>
      <c r="H410" s="3">
        <f t="shared" si="19"/>
        <v>75.145500000000013</v>
      </c>
      <c r="I410" s="7">
        <v>69.3</v>
      </c>
      <c r="J410" s="5">
        <f t="shared" si="20"/>
        <v>1358.4645</v>
      </c>
    </row>
    <row r="411" spans="1:10" x14ac:dyDescent="0.35">
      <c r="A411" s="3" t="s">
        <v>419</v>
      </c>
      <c r="B411" s="6">
        <v>43431</v>
      </c>
      <c r="C411" s="10" t="s">
        <v>11</v>
      </c>
      <c r="D411" s="3" t="s">
        <v>27</v>
      </c>
      <c r="E411" s="4">
        <v>34.76</v>
      </c>
      <c r="F411" s="3">
        <v>43</v>
      </c>
      <c r="G411" s="3">
        <f t="shared" si="18"/>
        <v>1494.6799999999998</v>
      </c>
      <c r="H411" s="3">
        <f t="shared" si="19"/>
        <v>74.733999999999995</v>
      </c>
      <c r="I411" s="7">
        <v>8.2200000000000006</v>
      </c>
      <c r="J411" s="5">
        <f t="shared" si="20"/>
        <v>1411.7259999999999</v>
      </c>
    </row>
    <row r="412" spans="1:10" x14ac:dyDescent="0.35">
      <c r="A412" s="3" t="s">
        <v>420</v>
      </c>
      <c r="B412" s="6">
        <v>43430</v>
      </c>
      <c r="C412" s="10" t="s">
        <v>8</v>
      </c>
      <c r="D412" s="3" t="s">
        <v>27</v>
      </c>
      <c r="E412" s="4">
        <v>3.52</v>
      </c>
      <c r="F412" s="3">
        <v>49</v>
      </c>
      <c r="G412" s="3">
        <f t="shared" si="18"/>
        <v>172.48</v>
      </c>
      <c r="H412" s="3">
        <f t="shared" si="19"/>
        <v>8.6240000000000006</v>
      </c>
      <c r="I412" s="7">
        <v>6.83</v>
      </c>
      <c r="J412" s="5">
        <f t="shared" si="20"/>
        <v>157.02599999999998</v>
      </c>
    </row>
    <row r="413" spans="1:10" x14ac:dyDescent="0.35">
      <c r="A413" s="3" t="s">
        <v>421</v>
      </c>
      <c r="B413" s="6">
        <v>43429</v>
      </c>
      <c r="C413" s="10" t="s">
        <v>8</v>
      </c>
      <c r="D413" s="3" t="s">
        <v>27</v>
      </c>
      <c r="E413" s="4">
        <v>3.08</v>
      </c>
      <c r="F413" s="3">
        <v>4</v>
      </c>
      <c r="G413" s="3">
        <f t="shared" si="18"/>
        <v>12.32</v>
      </c>
      <c r="H413" s="3">
        <f t="shared" si="19"/>
        <v>0.6160000000000001</v>
      </c>
      <c r="I413" s="7">
        <v>0.99</v>
      </c>
      <c r="J413" s="5">
        <f t="shared" si="20"/>
        <v>10.714</v>
      </c>
    </row>
    <row r="414" spans="1:10" x14ac:dyDescent="0.35">
      <c r="A414" s="3" t="s">
        <v>422</v>
      </c>
      <c r="B414" s="6">
        <v>43428</v>
      </c>
      <c r="C414" s="10" t="s">
        <v>8</v>
      </c>
      <c r="D414" s="3" t="s">
        <v>27</v>
      </c>
      <c r="E414" s="4">
        <v>7.08</v>
      </c>
      <c r="F414" s="3">
        <v>12</v>
      </c>
      <c r="G414" s="3">
        <f t="shared" si="18"/>
        <v>84.960000000000008</v>
      </c>
      <c r="H414" s="3">
        <f t="shared" si="19"/>
        <v>4.2480000000000002</v>
      </c>
      <c r="I414" s="7">
        <v>2.35</v>
      </c>
      <c r="J414" s="5">
        <f t="shared" si="20"/>
        <v>78.362000000000009</v>
      </c>
    </row>
    <row r="415" spans="1:10" x14ac:dyDescent="0.35">
      <c r="A415" s="3" t="s">
        <v>423</v>
      </c>
      <c r="B415" s="6">
        <v>43427</v>
      </c>
      <c r="C415" s="10" t="s">
        <v>11</v>
      </c>
      <c r="D415" s="3" t="s">
        <v>27</v>
      </c>
      <c r="E415" s="4">
        <v>8.6</v>
      </c>
      <c r="F415" s="3">
        <v>2</v>
      </c>
      <c r="G415" s="3">
        <f t="shared" si="18"/>
        <v>17.2</v>
      </c>
      <c r="H415" s="3">
        <f t="shared" si="19"/>
        <v>0.86</v>
      </c>
      <c r="I415" s="7">
        <v>6.19</v>
      </c>
      <c r="J415" s="5">
        <f t="shared" si="20"/>
        <v>10.149999999999999</v>
      </c>
    </row>
    <row r="416" spans="1:10" x14ac:dyDescent="0.35">
      <c r="A416" s="3" t="s">
        <v>424</v>
      </c>
      <c r="B416" s="6">
        <v>43426</v>
      </c>
      <c r="C416" s="10" t="s">
        <v>8</v>
      </c>
      <c r="D416" s="3" t="s">
        <v>27</v>
      </c>
      <c r="E416" s="4">
        <v>3.85</v>
      </c>
      <c r="F416" s="3">
        <v>4</v>
      </c>
      <c r="G416" s="3">
        <f t="shared" si="18"/>
        <v>15.4</v>
      </c>
      <c r="H416" s="3">
        <f t="shared" si="19"/>
        <v>0.77</v>
      </c>
      <c r="I416" s="7">
        <v>0.7</v>
      </c>
      <c r="J416" s="5">
        <f t="shared" si="20"/>
        <v>13.930000000000001</v>
      </c>
    </row>
    <row r="417" spans="1:10" x14ac:dyDescent="0.35">
      <c r="A417" s="3" t="s">
        <v>425</v>
      </c>
      <c r="B417" s="6">
        <v>43425</v>
      </c>
      <c r="C417" s="10" t="s">
        <v>8</v>
      </c>
      <c r="D417" s="3" t="s">
        <v>27</v>
      </c>
      <c r="E417" s="4">
        <v>9.85</v>
      </c>
      <c r="F417" s="3">
        <v>41</v>
      </c>
      <c r="G417" s="3">
        <f t="shared" si="18"/>
        <v>403.84999999999997</v>
      </c>
      <c r="H417" s="3">
        <f t="shared" si="19"/>
        <v>20.192499999999999</v>
      </c>
      <c r="I417" s="7">
        <v>4.82</v>
      </c>
      <c r="J417" s="5">
        <f t="shared" si="20"/>
        <v>378.83749999999998</v>
      </c>
    </row>
    <row r="418" spans="1:10" x14ac:dyDescent="0.35">
      <c r="A418" s="3" t="s">
        <v>426</v>
      </c>
      <c r="B418" s="6">
        <v>43424</v>
      </c>
      <c r="C418" s="10" t="s">
        <v>8</v>
      </c>
      <c r="D418" s="3" t="s">
        <v>27</v>
      </c>
      <c r="E418" s="4">
        <v>6.23</v>
      </c>
      <c r="F418" s="3">
        <v>4</v>
      </c>
      <c r="G418" s="3">
        <f t="shared" si="18"/>
        <v>24.92</v>
      </c>
      <c r="H418" s="3">
        <f t="shared" si="19"/>
        <v>1.2460000000000002</v>
      </c>
      <c r="I418" s="7">
        <v>6.97</v>
      </c>
      <c r="J418" s="5">
        <f t="shared" si="20"/>
        <v>16.704000000000004</v>
      </c>
    </row>
    <row r="419" spans="1:10" x14ac:dyDescent="0.35">
      <c r="A419" s="3" t="s">
        <v>427</v>
      </c>
      <c r="B419" s="6">
        <v>43423</v>
      </c>
      <c r="C419" s="10" t="s">
        <v>11</v>
      </c>
      <c r="D419" s="3" t="s">
        <v>27</v>
      </c>
      <c r="E419" s="4">
        <v>2.88</v>
      </c>
      <c r="F419" s="3">
        <v>43</v>
      </c>
      <c r="G419" s="3">
        <f t="shared" si="18"/>
        <v>123.83999999999999</v>
      </c>
      <c r="H419" s="3">
        <f t="shared" si="19"/>
        <v>6.1920000000000002</v>
      </c>
      <c r="I419" s="7">
        <v>1.01</v>
      </c>
      <c r="J419" s="5">
        <f t="shared" si="20"/>
        <v>116.63799999999999</v>
      </c>
    </row>
    <row r="420" spans="1:10" x14ac:dyDescent="0.35">
      <c r="A420" s="3" t="s">
        <v>428</v>
      </c>
      <c r="B420" s="6">
        <v>43422</v>
      </c>
      <c r="C420" s="10" t="s">
        <v>8</v>
      </c>
      <c r="D420" s="3" t="s">
        <v>27</v>
      </c>
      <c r="E420" s="4">
        <v>15.98</v>
      </c>
      <c r="F420" s="3">
        <v>26</v>
      </c>
      <c r="G420" s="3">
        <f t="shared" si="18"/>
        <v>415.48</v>
      </c>
      <c r="H420" s="3">
        <f t="shared" si="19"/>
        <v>20.774000000000001</v>
      </c>
      <c r="I420" s="7">
        <v>4</v>
      </c>
      <c r="J420" s="5">
        <f t="shared" si="20"/>
        <v>390.70600000000002</v>
      </c>
    </row>
    <row r="421" spans="1:10" x14ac:dyDescent="0.35">
      <c r="A421" s="3" t="s">
        <v>429</v>
      </c>
      <c r="B421" s="6">
        <v>43421</v>
      </c>
      <c r="C421" s="10" t="s">
        <v>8</v>
      </c>
      <c r="D421" s="3" t="s">
        <v>27</v>
      </c>
      <c r="E421" s="4">
        <v>2.88</v>
      </c>
      <c r="F421" s="3">
        <v>9</v>
      </c>
      <c r="G421" s="3">
        <f t="shared" si="18"/>
        <v>25.919999999999998</v>
      </c>
      <c r="H421" s="3">
        <f t="shared" si="19"/>
        <v>1.296</v>
      </c>
      <c r="I421" s="7">
        <v>0.99</v>
      </c>
      <c r="J421" s="5">
        <f t="shared" si="20"/>
        <v>23.634</v>
      </c>
    </row>
    <row r="422" spans="1:10" x14ac:dyDescent="0.35">
      <c r="A422" s="3" t="s">
        <v>430</v>
      </c>
      <c r="B422" s="6">
        <v>43420</v>
      </c>
      <c r="C422" s="10" t="s">
        <v>11</v>
      </c>
      <c r="D422" s="3" t="s">
        <v>27</v>
      </c>
      <c r="E422" s="4">
        <v>3.69</v>
      </c>
      <c r="F422" s="3">
        <v>12</v>
      </c>
      <c r="G422" s="3">
        <f t="shared" si="18"/>
        <v>44.28</v>
      </c>
      <c r="H422" s="3">
        <f t="shared" si="19"/>
        <v>2.214</v>
      </c>
      <c r="I422" s="7">
        <v>0.5</v>
      </c>
      <c r="J422" s="5">
        <f t="shared" si="20"/>
        <v>41.566000000000003</v>
      </c>
    </row>
    <row r="423" spans="1:10" x14ac:dyDescent="0.35">
      <c r="A423" s="3" t="s">
        <v>431</v>
      </c>
      <c r="B423" s="6">
        <v>43419</v>
      </c>
      <c r="C423" s="10" t="s">
        <v>8</v>
      </c>
      <c r="D423" s="3" t="s">
        <v>27</v>
      </c>
      <c r="E423" s="4">
        <v>7.64</v>
      </c>
      <c r="F423" s="3">
        <v>32</v>
      </c>
      <c r="G423" s="3">
        <f t="shared" si="18"/>
        <v>244.48</v>
      </c>
      <c r="H423" s="3">
        <f t="shared" si="19"/>
        <v>12.224</v>
      </c>
      <c r="I423" s="7">
        <v>1.39</v>
      </c>
      <c r="J423" s="5">
        <f t="shared" si="20"/>
        <v>230.86600000000001</v>
      </c>
    </row>
    <row r="424" spans="1:10" x14ac:dyDescent="0.35">
      <c r="A424" s="3" t="s">
        <v>432</v>
      </c>
      <c r="B424" s="6">
        <v>43418</v>
      </c>
      <c r="C424" s="10" t="s">
        <v>11</v>
      </c>
      <c r="D424" s="3" t="s">
        <v>27</v>
      </c>
      <c r="E424" s="4">
        <v>5.53</v>
      </c>
      <c r="F424" s="3">
        <v>12</v>
      </c>
      <c r="G424" s="3">
        <f t="shared" si="18"/>
        <v>66.36</v>
      </c>
      <c r="H424" s="3">
        <f t="shared" si="19"/>
        <v>3.3180000000000001</v>
      </c>
      <c r="I424" s="7">
        <v>6.98</v>
      </c>
      <c r="J424" s="5">
        <f t="shared" si="20"/>
        <v>56.061999999999998</v>
      </c>
    </row>
    <row r="425" spans="1:10" x14ac:dyDescent="0.35">
      <c r="A425" s="3" t="s">
        <v>433</v>
      </c>
      <c r="B425" s="6">
        <v>43417</v>
      </c>
      <c r="C425" s="10" t="s">
        <v>11</v>
      </c>
      <c r="D425" s="3" t="s">
        <v>27</v>
      </c>
      <c r="E425" s="4">
        <v>3.85</v>
      </c>
      <c r="F425" s="3">
        <v>12</v>
      </c>
      <c r="G425" s="3">
        <f t="shared" si="18"/>
        <v>46.2</v>
      </c>
      <c r="H425" s="3">
        <f t="shared" si="19"/>
        <v>2.31</v>
      </c>
      <c r="I425" s="7">
        <v>0.7</v>
      </c>
      <c r="J425" s="5">
        <f t="shared" si="20"/>
        <v>43.19</v>
      </c>
    </row>
    <row r="426" spans="1:10" x14ac:dyDescent="0.35">
      <c r="A426" s="3" t="s">
        <v>434</v>
      </c>
      <c r="B426" s="6">
        <v>43416</v>
      </c>
      <c r="C426" s="10" t="s">
        <v>8</v>
      </c>
      <c r="D426" s="3" t="s">
        <v>27</v>
      </c>
      <c r="E426" s="4">
        <v>2.88</v>
      </c>
      <c r="F426" s="3">
        <v>22</v>
      </c>
      <c r="G426" s="3">
        <f t="shared" si="18"/>
        <v>63.36</v>
      </c>
      <c r="H426" s="3">
        <f t="shared" si="19"/>
        <v>3.1680000000000001</v>
      </c>
      <c r="I426" s="7">
        <v>1.49</v>
      </c>
      <c r="J426" s="5">
        <f t="shared" si="20"/>
        <v>58.701999999999998</v>
      </c>
    </row>
    <row r="427" spans="1:10" x14ac:dyDescent="0.35">
      <c r="A427" s="3" t="s">
        <v>435</v>
      </c>
      <c r="B427" s="6">
        <v>43415</v>
      </c>
      <c r="C427" s="10" t="s">
        <v>8</v>
      </c>
      <c r="D427" s="3" t="s">
        <v>27</v>
      </c>
      <c r="E427" s="4">
        <v>11.97</v>
      </c>
      <c r="F427" s="3">
        <v>30</v>
      </c>
      <c r="G427" s="3">
        <f t="shared" si="18"/>
        <v>359.1</v>
      </c>
      <c r="H427" s="3">
        <f t="shared" si="19"/>
        <v>17.955000000000002</v>
      </c>
      <c r="I427" s="7">
        <v>5.81</v>
      </c>
      <c r="J427" s="5">
        <f t="shared" si="20"/>
        <v>335.33500000000004</v>
      </c>
    </row>
    <row r="428" spans="1:10" x14ac:dyDescent="0.35">
      <c r="A428" s="3" t="s">
        <v>436</v>
      </c>
      <c r="B428" s="6">
        <v>43414</v>
      </c>
      <c r="C428" s="10" t="s">
        <v>8</v>
      </c>
      <c r="D428" s="3" t="s">
        <v>27</v>
      </c>
      <c r="E428" s="4">
        <v>7.28</v>
      </c>
      <c r="F428" s="3">
        <v>5</v>
      </c>
      <c r="G428" s="3">
        <f t="shared" si="18"/>
        <v>36.4</v>
      </c>
      <c r="H428" s="3">
        <f t="shared" si="19"/>
        <v>1.82</v>
      </c>
      <c r="I428" s="7">
        <v>11.15</v>
      </c>
      <c r="J428" s="5">
        <f t="shared" si="20"/>
        <v>23.43</v>
      </c>
    </row>
    <row r="429" spans="1:10" x14ac:dyDescent="0.35">
      <c r="A429" s="3" t="s">
        <v>437</v>
      </c>
      <c r="B429" s="6">
        <v>43410</v>
      </c>
      <c r="C429" s="10" t="s">
        <v>11</v>
      </c>
      <c r="D429" s="3" t="s">
        <v>27</v>
      </c>
      <c r="E429" s="4">
        <v>162.93</v>
      </c>
      <c r="F429" s="3">
        <v>39</v>
      </c>
      <c r="G429" s="3">
        <f t="shared" si="18"/>
        <v>6354.27</v>
      </c>
      <c r="H429" s="3">
        <f t="shared" si="19"/>
        <v>317.71350000000007</v>
      </c>
      <c r="I429" s="7">
        <v>19.989999999999998</v>
      </c>
      <c r="J429" s="5">
        <f t="shared" si="20"/>
        <v>6016.5665000000008</v>
      </c>
    </row>
    <row r="430" spans="1:10" x14ac:dyDescent="0.35">
      <c r="A430" s="3" t="s">
        <v>438</v>
      </c>
      <c r="B430" s="6">
        <v>43387</v>
      </c>
      <c r="C430" s="10" t="s">
        <v>11</v>
      </c>
      <c r="D430" s="3" t="s">
        <v>27</v>
      </c>
      <c r="E430" s="4">
        <v>500.97</v>
      </c>
      <c r="F430" s="3">
        <v>37</v>
      </c>
      <c r="G430" s="3">
        <f t="shared" si="18"/>
        <v>18535.89</v>
      </c>
      <c r="H430" s="3">
        <f t="shared" si="19"/>
        <v>926.79449999999997</v>
      </c>
      <c r="I430" s="7">
        <v>69.3</v>
      </c>
      <c r="J430" s="5">
        <f t="shared" si="20"/>
        <v>17539.7955</v>
      </c>
    </row>
    <row r="431" spans="1:10" x14ac:dyDescent="0.35">
      <c r="A431" s="3" t="s">
        <v>439</v>
      </c>
      <c r="B431" s="6">
        <v>43386</v>
      </c>
      <c r="C431" s="10" t="s">
        <v>11</v>
      </c>
      <c r="D431" s="3" t="s">
        <v>27</v>
      </c>
      <c r="E431" s="4">
        <v>2.88</v>
      </c>
      <c r="F431" s="3">
        <v>27</v>
      </c>
      <c r="G431" s="3">
        <f t="shared" si="18"/>
        <v>77.759999999999991</v>
      </c>
      <c r="H431" s="3">
        <f t="shared" si="19"/>
        <v>3.8879999999999999</v>
      </c>
      <c r="I431" s="7">
        <v>0.99</v>
      </c>
      <c r="J431" s="5">
        <f t="shared" si="20"/>
        <v>72.881999999999991</v>
      </c>
    </row>
    <row r="432" spans="1:10" x14ac:dyDescent="0.35">
      <c r="A432" s="3" t="s">
        <v>440</v>
      </c>
      <c r="B432" s="6">
        <v>43384</v>
      </c>
      <c r="C432" s="10" t="s">
        <v>11</v>
      </c>
      <c r="D432" s="3" t="s">
        <v>27</v>
      </c>
      <c r="E432" s="4">
        <v>6.84</v>
      </c>
      <c r="F432" s="3">
        <v>26</v>
      </c>
      <c r="G432" s="3">
        <f t="shared" si="18"/>
        <v>177.84</v>
      </c>
      <c r="H432" s="3">
        <f t="shared" si="19"/>
        <v>8.8920000000000012</v>
      </c>
      <c r="I432" s="7">
        <v>4.42</v>
      </c>
      <c r="J432" s="5">
        <f t="shared" si="20"/>
        <v>164.52800000000002</v>
      </c>
    </row>
    <row r="433" spans="1:10" x14ac:dyDescent="0.35">
      <c r="A433" s="3" t="s">
        <v>441</v>
      </c>
      <c r="B433" s="6">
        <v>43383</v>
      </c>
      <c r="C433" s="10" t="s">
        <v>11</v>
      </c>
      <c r="D433" s="3" t="s">
        <v>27</v>
      </c>
      <c r="E433" s="4">
        <v>2.1</v>
      </c>
      <c r="F433" s="3">
        <v>34</v>
      </c>
      <c r="G433" s="3">
        <f t="shared" si="18"/>
        <v>71.400000000000006</v>
      </c>
      <c r="H433" s="3">
        <f t="shared" si="19"/>
        <v>3.5700000000000003</v>
      </c>
      <c r="I433" s="7">
        <v>0.7</v>
      </c>
      <c r="J433" s="5">
        <f t="shared" si="20"/>
        <v>67.13000000000001</v>
      </c>
    </row>
    <row r="434" spans="1:10" x14ac:dyDescent="0.35">
      <c r="A434" s="3" t="s">
        <v>442</v>
      </c>
      <c r="B434" s="6">
        <v>43380</v>
      </c>
      <c r="C434" s="10" t="s">
        <v>11</v>
      </c>
      <c r="D434" s="3" t="s">
        <v>27</v>
      </c>
      <c r="E434" s="4">
        <v>35.409999999999997</v>
      </c>
      <c r="F434" s="3">
        <v>1</v>
      </c>
      <c r="G434" s="3">
        <f t="shared" si="18"/>
        <v>35.409999999999997</v>
      </c>
      <c r="H434" s="3">
        <f t="shared" si="19"/>
        <v>1.7705</v>
      </c>
      <c r="I434" s="7">
        <v>1.99</v>
      </c>
      <c r="J434" s="5">
        <f t="shared" si="20"/>
        <v>31.6495</v>
      </c>
    </row>
    <row r="435" spans="1:10" x14ac:dyDescent="0.35">
      <c r="A435" s="3" t="s">
        <v>443</v>
      </c>
      <c r="B435" s="6">
        <v>43378</v>
      </c>
      <c r="C435" s="10" t="s">
        <v>11</v>
      </c>
      <c r="D435" s="3" t="s">
        <v>27</v>
      </c>
      <c r="E435" s="4">
        <v>22.38</v>
      </c>
      <c r="F435" s="3">
        <v>50</v>
      </c>
      <c r="G435" s="3">
        <f t="shared" si="18"/>
        <v>1119</v>
      </c>
      <c r="H435" s="3">
        <f t="shared" si="19"/>
        <v>55.95</v>
      </c>
      <c r="I435" s="7">
        <v>15.1</v>
      </c>
      <c r="J435" s="5">
        <f t="shared" si="20"/>
        <v>1047.95</v>
      </c>
    </row>
    <row r="436" spans="1:10" x14ac:dyDescent="0.35">
      <c r="A436" s="3" t="s">
        <v>444</v>
      </c>
      <c r="B436" s="6">
        <v>43377</v>
      </c>
      <c r="C436" s="10" t="s">
        <v>11</v>
      </c>
      <c r="D436" s="3" t="s">
        <v>27</v>
      </c>
      <c r="E436" s="4">
        <v>2.84</v>
      </c>
      <c r="F436" s="3">
        <v>21</v>
      </c>
      <c r="G436" s="3">
        <f t="shared" si="18"/>
        <v>59.64</v>
      </c>
      <c r="H436" s="3">
        <f t="shared" si="19"/>
        <v>2.9820000000000002</v>
      </c>
      <c r="I436" s="7">
        <v>0.93</v>
      </c>
      <c r="J436" s="5">
        <f t="shared" si="20"/>
        <v>55.728000000000002</v>
      </c>
    </row>
    <row r="437" spans="1:10" x14ac:dyDescent="0.35">
      <c r="A437" s="3" t="s">
        <v>445</v>
      </c>
      <c r="B437" s="6">
        <v>43376</v>
      </c>
      <c r="C437" s="10" t="s">
        <v>11</v>
      </c>
      <c r="D437" s="3" t="s">
        <v>27</v>
      </c>
      <c r="E437" s="4">
        <v>1.81</v>
      </c>
      <c r="F437" s="3">
        <v>9</v>
      </c>
      <c r="G437" s="3">
        <f t="shared" si="18"/>
        <v>16.29</v>
      </c>
      <c r="H437" s="3">
        <f t="shared" si="19"/>
        <v>0.8145</v>
      </c>
      <c r="I437" s="7">
        <v>0.75</v>
      </c>
      <c r="J437" s="5">
        <f t="shared" si="20"/>
        <v>14.725499999999998</v>
      </c>
    </row>
    <row r="438" spans="1:10" x14ac:dyDescent="0.35">
      <c r="A438" s="3" t="s">
        <v>446</v>
      </c>
      <c r="B438" s="6">
        <v>43375</v>
      </c>
      <c r="C438" s="10" t="s">
        <v>11</v>
      </c>
      <c r="D438" s="3" t="s">
        <v>27</v>
      </c>
      <c r="E438" s="4">
        <v>8.6</v>
      </c>
      <c r="F438" s="3">
        <v>48</v>
      </c>
      <c r="G438" s="3">
        <f t="shared" si="18"/>
        <v>412.79999999999995</v>
      </c>
      <c r="H438" s="3">
        <f t="shared" si="19"/>
        <v>20.64</v>
      </c>
      <c r="I438" s="7">
        <v>6.19</v>
      </c>
      <c r="J438" s="5">
        <f t="shared" si="20"/>
        <v>385.96999999999997</v>
      </c>
    </row>
    <row r="439" spans="1:10" x14ac:dyDescent="0.35">
      <c r="A439" s="3" t="s">
        <v>447</v>
      </c>
      <c r="B439" s="6">
        <v>43371</v>
      </c>
      <c r="C439" s="10" t="s">
        <v>11</v>
      </c>
      <c r="D439" s="3" t="s">
        <v>27</v>
      </c>
      <c r="E439" s="4">
        <v>6.84</v>
      </c>
      <c r="F439" s="3">
        <v>35</v>
      </c>
      <c r="G439" s="3">
        <f t="shared" si="18"/>
        <v>239.4</v>
      </c>
      <c r="H439" s="3">
        <f t="shared" si="19"/>
        <v>11.97</v>
      </c>
      <c r="I439" s="7">
        <v>4.42</v>
      </c>
      <c r="J439" s="5">
        <f t="shared" si="20"/>
        <v>223.01000000000002</v>
      </c>
    </row>
    <row r="440" spans="1:10" x14ac:dyDescent="0.35">
      <c r="A440" s="3" t="s">
        <v>448</v>
      </c>
      <c r="B440" s="6">
        <v>43364</v>
      </c>
      <c r="C440" s="10" t="s">
        <v>11</v>
      </c>
      <c r="D440" s="3" t="s">
        <v>27</v>
      </c>
      <c r="E440" s="4">
        <v>2.62</v>
      </c>
      <c r="F440" s="3">
        <v>37</v>
      </c>
      <c r="G440" s="3">
        <f t="shared" si="18"/>
        <v>96.94</v>
      </c>
      <c r="H440" s="3">
        <f t="shared" si="19"/>
        <v>4.8470000000000004</v>
      </c>
      <c r="I440" s="7">
        <v>0.8</v>
      </c>
      <c r="J440" s="5">
        <f t="shared" si="20"/>
        <v>91.293000000000006</v>
      </c>
    </row>
    <row r="441" spans="1:10" x14ac:dyDescent="0.35">
      <c r="A441" s="3" t="s">
        <v>449</v>
      </c>
      <c r="B441" s="6">
        <v>43359</v>
      </c>
      <c r="C441" s="10" t="s">
        <v>11</v>
      </c>
      <c r="D441" s="3" t="s">
        <v>27</v>
      </c>
      <c r="E441" s="4">
        <v>7.28</v>
      </c>
      <c r="F441" s="3">
        <v>36</v>
      </c>
      <c r="G441" s="3">
        <f t="shared" si="18"/>
        <v>262.08</v>
      </c>
      <c r="H441" s="3">
        <f t="shared" si="19"/>
        <v>13.103999999999999</v>
      </c>
      <c r="I441" s="7">
        <v>11.15</v>
      </c>
      <c r="J441" s="5">
        <f t="shared" si="20"/>
        <v>237.82599999999999</v>
      </c>
    </row>
    <row r="442" spans="1:10" x14ac:dyDescent="0.35">
      <c r="A442" s="3" t="s">
        <v>450</v>
      </c>
      <c r="B442" s="6">
        <v>43352</v>
      </c>
      <c r="C442" s="10" t="s">
        <v>11</v>
      </c>
      <c r="D442" s="3" t="s">
        <v>9</v>
      </c>
      <c r="E442" s="4">
        <v>34.76</v>
      </c>
      <c r="F442" s="3">
        <v>8</v>
      </c>
      <c r="G442" s="3">
        <f t="shared" si="18"/>
        <v>278.08</v>
      </c>
      <c r="H442" s="3">
        <f t="shared" si="19"/>
        <v>13.904</v>
      </c>
      <c r="I442" s="7">
        <v>8.2200000000000006</v>
      </c>
      <c r="J442" s="5">
        <f t="shared" si="20"/>
        <v>255.95599999999999</v>
      </c>
    </row>
    <row r="443" spans="1:10" x14ac:dyDescent="0.35">
      <c r="A443" s="3" t="s">
        <v>451</v>
      </c>
      <c r="B443" s="6">
        <v>43350</v>
      </c>
      <c r="C443" s="10" t="s">
        <v>11</v>
      </c>
      <c r="D443" s="3" t="s">
        <v>9</v>
      </c>
      <c r="E443" s="4">
        <v>40.97</v>
      </c>
      <c r="F443" s="3">
        <v>47</v>
      </c>
      <c r="G443" s="3">
        <f t="shared" si="18"/>
        <v>1925.59</v>
      </c>
      <c r="H443" s="3">
        <f t="shared" si="19"/>
        <v>96.279499999999999</v>
      </c>
      <c r="I443" s="7">
        <v>8.99</v>
      </c>
      <c r="J443" s="5">
        <f t="shared" si="20"/>
        <v>1820.3204999999998</v>
      </c>
    </row>
    <row r="444" spans="1:10" x14ac:dyDescent="0.35">
      <c r="A444" s="3" t="s">
        <v>452</v>
      </c>
      <c r="B444" s="6">
        <v>43346</v>
      </c>
      <c r="C444" s="10" t="s">
        <v>11</v>
      </c>
      <c r="D444" s="3" t="s">
        <v>19</v>
      </c>
      <c r="E444" s="4">
        <v>449.99</v>
      </c>
      <c r="F444" s="3">
        <v>34</v>
      </c>
      <c r="G444" s="3">
        <f t="shared" si="18"/>
        <v>15299.66</v>
      </c>
      <c r="H444" s="3">
        <f t="shared" si="19"/>
        <v>764.98300000000006</v>
      </c>
      <c r="I444" s="7">
        <v>49</v>
      </c>
      <c r="J444" s="5">
        <f t="shared" si="20"/>
        <v>14485.677</v>
      </c>
    </row>
    <row r="445" spans="1:10" x14ac:dyDescent="0.35">
      <c r="A445" s="3" t="s">
        <v>453</v>
      </c>
      <c r="B445" s="6">
        <v>43337</v>
      </c>
      <c r="C445" s="10" t="s">
        <v>11</v>
      </c>
      <c r="D445" s="3" t="s">
        <v>9</v>
      </c>
      <c r="E445" s="4">
        <v>1.88</v>
      </c>
      <c r="F445" s="3">
        <v>36</v>
      </c>
      <c r="G445" s="3">
        <f t="shared" si="18"/>
        <v>67.679999999999993</v>
      </c>
      <c r="H445" s="3">
        <f t="shared" si="19"/>
        <v>3.3839999999999999</v>
      </c>
      <c r="I445" s="7">
        <v>0.79</v>
      </c>
      <c r="J445" s="5">
        <f t="shared" si="20"/>
        <v>63.505999999999993</v>
      </c>
    </row>
    <row r="446" spans="1:10" x14ac:dyDescent="0.35">
      <c r="A446" s="3" t="s">
        <v>454</v>
      </c>
      <c r="B446" s="6">
        <v>43334</v>
      </c>
      <c r="C446" s="10" t="s">
        <v>11</v>
      </c>
      <c r="D446" s="3" t="s">
        <v>9</v>
      </c>
      <c r="E446" s="4">
        <v>4</v>
      </c>
      <c r="F446" s="3">
        <v>32</v>
      </c>
      <c r="G446" s="3">
        <f t="shared" si="18"/>
        <v>128</v>
      </c>
      <c r="H446" s="3">
        <f t="shared" si="19"/>
        <v>6.4</v>
      </c>
      <c r="I446" s="7">
        <v>1.3</v>
      </c>
      <c r="J446" s="5">
        <f t="shared" si="20"/>
        <v>120.3</v>
      </c>
    </row>
    <row r="447" spans="1:10" x14ac:dyDescent="0.35">
      <c r="A447" s="3" t="s">
        <v>455</v>
      </c>
      <c r="B447" s="6">
        <v>43328</v>
      </c>
      <c r="C447" s="10" t="s">
        <v>11</v>
      </c>
      <c r="D447" s="3" t="s">
        <v>9</v>
      </c>
      <c r="E447" s="4">
        <v>3.85</v>
      </c>
      <c r="F447" s="3">
        <v>10</v>
      </c>
      <c r="G447" s="3">
        <f t="shared" si="18"/>
        <v>38.5</v>
      </c>
      <c r="H447" s="3">
        <f t="shared" si="19"/>
        <v>1.925</v>
      </c>
      <c r="I447" s="7">
        <v>0.7</v>
      </c>
      <c r="J447" s="5">
        <f t="shared" si="20"/>
        <v>35.875</v>
      </c>
    </row>
    <row r="448" spans="1:10" x14ac:dyDescent="0.35">
      <c r="A448" s="3" t="s">
        <v>456</v>
      </c>
      <c r="B448" s="6">
        <v>43325</v>
      </c>
      <c r="C448" s="10" t="s">
        <v>11</v>
      </c>
      <c r="D448" s="3" t="s">
        <v>9</v>
      </c>
      <c r="E448" s="4">
        <v>5.4</v>
      </c>
      <c r="F448" s="3">
        <v>22</v>
      </c>
      <c r="G448" s="3">
        <f t="shared" si="18"/>
        <v>118.80000000000001</v>
      </c>
      <c r="H448" s="3">
        <f t="shared" si="19"/>
        <v>5.9400000000000013</v>
      </c>
      <c r="I448" s="7">
        <v>7.78</v>
      </c>
      <c r="J448" s="5">
        <f t="shared" si="20"/>
        <v>105.08000000000001</v>
      </c>
    </row>
    <row r="449" spans="1:10" x14ac:dyDescent="0.35">
      <c r="A449" s="3" t="s">
        <v>457</v>
      </c>
      <c r="B449" s="6">
        <v>43323</v>
      </c>
      <c r="C449" s="10" t="s">
        <v>11</v>
      </c>
      <c r="D449" s="3" t="s">
        <v>9</v>
      </c>
      <c r="E449" s="4">
        <v>11.97</v>
      </c>
      <c r="F449" s="3">
        <v>8</v>
      </c>
      <c r="G449" s="3">
        <f t="shared" si="18"/>
        <v>95.76</v>
      </c>
      <c r="H449" s="3">
        <f t="shared" si="19"/>
        <v>4.7880000000000003</v>
      </c>
      <c r="I449" s="7">
        <v>5.81</v>
      </c>
      <c r="J449" s="5">
        <f t="shared" si="20"/>
        <v>85.162000000000006</v>
      </c>
    </row>
    <row r="450" spans="1:10" x14ac:dyDescent="0.35">
      <c r="A450" s="3" t="s">
        <v>458</v>
      </c>
      <c r="B450" s="6">
        <v>43322</v>
      </c>
      <c r="C450" s="10" t="s">
        <v>11</v>
      </c>
      <c r="D450" s="3" t="s">
        <v>9</v>
      </c>
      <c r="E450" s="4">
        <v>15.98</v>
      </c>
      <c r="F450" s="3">
        <v>38</v>
      </c>
      <c r="G450" s="3">
        <f t="shared" si="18"/>
        <v>607.24</v>
      </c>
      <c r="H450" s="3">
        <f t="shared" si="19"/>
        <v>30.362000000000002</v>
      </c>
      <c r="I450" s="7">
        <v>6.5</v>
      </c>
      <c r="J450" s="5">
        <f t="shared" si="20"/>
        <v>570.37800000000004</v>
      </c>
    </row>
    <row r="451" spans="1:10" x14ac:dyDescent="0.35">
      <c r="A451" s="3" t="s">
        <v>459</v>
      </c>
      <c r="B451" s="6">
        <v>43321</v>
      </c>
      <c r="C451" s="10" t="s">
        <v>11</v>
      </c>
      <c r="D451" s="3" t="s">
        <v>27</v>
      </c>
      <c r="E451" s="4">
        <v>10.89</v>
      </c>
      <c r="F451" s="3">
        <v>4</v>
      </c>
      <c r="G451" s="3">
        <f t="shared" ref="G451:G514" si="21">E451*F451</f>
        <v>43.56</v>
      </c>
      <c r="H451" s="3">
        <f t="shared" ref="H451:H514" si="22">G451*5%</f>
        <v>2.1780000000000004</v>
      </c>
      <c r="I451" s="7">
        <v>4.5</v>
      </c>
      <c r="J451" s="5">
        <f t="shared" ref="J451:J514" si="23">G451-H451-I451</f>
        <v>36.882000000000005</v>
      </c>
    </row>
    <row r="452" spans="1:10" x14ac:dyDescent="0.35">
      <c r="A452" s="3" t="s">
        <v>460</v>
      </c>
      <c r="B452" s="6">
        <v>43320</v>
      </c>
      <c r="C452" s="10" t="s">
        <v>11</v>
      </c>
      <c r="D452" s="3" t="s">
        <v>9</v>
      </c>
      <c r="E452" s="4">
        <v>6.3</v>
      </c>
      <c r="F452" s="3">
        <v>8</v>
      </c>
      <c r="G452" s="3">
        <f t="shared" si="21"/>
        <v>50.4</v>
      </c>
      <c r="H452" s="3">
        <f t="shared" si="22"/>
        <v>2.52</v>
      </c>
      <c r="I452" s="7">
        <v>0.5</v>
      </c>
      <c r="J452" s="5">
        <f t="shared" si="23"/>
        <v>47.379999999999995</v>
      </c>
    </row>
    <row r="453" spans="1:10" x14ac:dyDescent="0.35">
      <c r="A453" s="3" t="s">
        <v>461</v>
      </c>
      <c r="B453" s="6">
        <v>43319</v>
      </c>
      <c r="C453" s="10" t="s">
        <v>11</v>
      </c>
      <c r="D453" s="3" t="s">
        <v>9</v>
      </c>
      <c r="E453" s="4">
        <v>12.98</v>
      </c>
      <c r="F453" s="3">
        <v>11</v>
      </c>
      <c r="G453" s="3">
        <f t="shared" si="21"/>
        <v>142.78</v>
      </c>
      <c r="H453" s="3">
        <f t="shared" si="22"/>
        <v>7.1390000000000002</v>
      </c>
      <c r="I453" s="7">
        <v>3.14</v>
      </c>
      <c r="J453" s="5">
        <f t="shared" si="23"/>
        <v>132.501</v>
      </c>
    </row>
    <row r="454" spans="1:10" x14ac:dyDescent="0.35">
      <c r="A454" s="3" t="s">
        <v>462</v>
      </c>
      <c r="B454" s="6">
        <v>43318</v>
      </c>
      <c r="C454" s="10" t="s">
        <v>11</v>
      </c>
      <c r="D454" s="3" t="s">
        <v>9</v>
      </c>
      <c r="E454" s="4">
        <v>4</v>
      </c>
      <c r="F454" s="3">
        <v>19</v>
      </c>
      <c r="G454" s="3">
        <f t="shared" si="21"/>
        <v>76</v>
      </c>
      <c r="H454" s="3">
        <f t="shared" si="22"/>
        <v>3.8000000000000003</v>
      </c>
      <c r="I454" s="7">
        <v>1.3</v>
      </c>
      <c r="J454" s="5">
        <f t="shared" si="23"/>
        <v>70.900000000000006</v>
      </c>
    </row>
    <row r="455" spans="1:10" x14ac:dyDescent="0.35">
      <c r="A455" s="3" t="s">
        <v>463</v>
      </c>
      <c r="B455" s="6">
        <v>43317</v>
      </c>
      <c r="C455" s="10" t="s">
        <v>11</v>
      </c>
      <c r="D455" s="3" t="s">
        <v>9</v>
      </c>
      <c r="E455" s="4">
        <v>4</v>
      </c>
      <c r="F455" s="3">
        <v>36</v>
      </c>
      <c r="G455" s="3">
        <f t="shared" si="21"/>
        <v>144</v>
      </c>
      <c r="H455" s="3">
        <f t="shared" si="22"/>
        <v>7.2</v>
      </c>
      <c r="I455" s="7">
        <v>1.3</v>
      </c>
      <c r="J455" s="5">
        <f t="shared" si="23"/>
        <v>135.5</v>
      </c>
    </row>
    <row r="456" spans="1:10" x14ac:dyDescent="0.35">
      <c r="A456" s="3" t="s">
        <v>464</v>
      </c>
      <c r="B456" s="6">
        <v>43311</v>
      </c>
      <c r="C456" s="10" t="s">
        <v>11</v>
      </c>
      <c r="D456" s="3" t="s">
        <v>9</v>
      </c>
      <c r="E456" s="4">
        <v>3.08</v>
      </c>
      <c r="F456" s="3">
        <v>46</v>
      </c>
      <c r="G456" s="3">
        <f t="shared" si="21"/>
        <v>141.68</v>
      </c>
      <c r="H456" s="3">
        <f t="shared" si="22"/>
        <v>7.0840000000000005</v>
      </c>
      <c r="I456" s="7">
        <v>0.99</v>
      </c>
      <c r="J456" s="5">
        <f t="shared" si="23"/>
        <v>133.60599999999999</v>
      </c>
    </row>
    <row r="457" spans="1:10" x14ac:dyDescent="0.35">
      <c r="A457" s="3" t="s">
        <v>465</v>
      </c>
      <c r="B457" s="6">
        <v>43240</v>
      </c>
      <c r="C457" s="10" t="s">
        <v>11</v>
      </c>
      <c r="D457" s="3" t="s">
        <v>27</v>
      </c>
      <c r="E457" s="4">
        <v>4.91</v>
      </c>
      <c r="F457" s="3">
        <v>24</v>
      </c>
      <c r="G457" s="3">
        <f t="shared" si="21"/>
        <v>117.84</v>
      </c>
      <c r="H457" s="3">
        <f t="shared" si="22"/>
        <v>5.8920000000000003</v>
      </c>
      <c r="I457" s="7">
        <v>0.5</v>
      </c>
      <c r="J457" s="5">
        <f t="shared" si="23"/>
        <v>111.44800000000001</v>
      </c>
    </row>
    <row r="458" spans="1:10" x14ac:dyDescent="0.35">
      <c r="A458" s="3" t="s">
        <v>466</v>
      </c>
      <c r="B458" s="6">
        <v>43239</v>
      </c>
      <c r="C458" s="10" t="s">
        <v>11</v>
      </c>
      <c r="D458" s="3" t="s">
        <v>9</v>
      </c>
      <c r="E458" s="4">
        <v>36.549999999999997</v>
      </c>
      <c r="F458" s="3">
        <v>48</v>
      </c>
      <c r="G458" s="3">
        <f t="shared" si="21"/>
        <v>1754.3999999999999</v>
      </c>
      <c r="H458" s="3">
        <f t="shared" si="22"/>
        <v>87.72</v>
      </c>
      <c r="I458" s="7">
        <v>13.89</v>
      </c>
      <c r="J458" s="5">
        <f t="shared" si="23"/>
        <v>1652.7899999999997</v>
      </c>
    </row>
    <row r="459" spans="1:10" x14ac:dyDescent="0.35">
      <c r="A459" s="3" t="s">
        <v>467</v>
      </c>
      <c r="B459" s="6">
        <v>43230</v>
      </c>
      <c r="C459" s="10" t="s">
        <v>11</v>
      </c>
      <c r="D459" s="3" t="s">
        <v>27</v>
      </c>
      <c r="E459" s="4">
        <v>3.58</v>
      </c>
      <c r="F459" s="3">
        <v>44</v>
      </c>
      <c r="G459" s="3">
        <f t="shared" si="21"/>
        <v>157.52000000000001</v>
      </c>
      <c r="H459" s="3">
        <f t="shared" si="22"/>
        <v>7.8760000000000012</v>
      </c>
      <c r="I459" s="7">
        <v>5.47</v>
      </c>
      <c r="J459" s="5">
        <f t="shared" si="23"/>
        <v>144.17400000000001</v>
      </c>
    </row>
    <row r="460" spans="1:10" x14ac:dyDescent="0.35">
      <c r="A460" s="3" t="s">
        <v>468</v>
      </c>
      <c r="B460" s="6">
        <v>43223</v>
      </c>
      <c r="C460" s="10" t="s">
        <v>11</v>
      </c>
      <c r="D460" s="3" t="s">
        <v>9</v>
      </c>
      <c r="E460" s="4">
        <v>20.99</v>
      </c>
      <c r="F460" s="3">
        <v>10</v>
      </c>
      <c r="G460" s="3">
        <f t="shared" si="21"/>
        <v>209.89999999999998</v>
      </c>
      <c r="H460" s="3">
        <f t="shared" si="22"/>
        <v>10.494999999999999</v>
      </c>
      <c r="I460" s="7">
        <v>4.8099999999999996</v>
      </c>
      <c r="J460" s="5">
        <f t="shared" si="23"/>
        <v>194.59499999999997</v>
      </c>
    </row>
    <row r="461" spans="1:10" x14ac:dyDescent="0.35">
      <c r="A461" s="3" t="s">
        <v>469</v>
      </c>
      <c r="B461" s="6">
        <v>43220</v>
      </c>
      <c r="C461" s="10" t="s">
        <v>11</v>
      </c>
      <c r="D461" s="3" t="s">
        <v>9</v>
      </c>
      <c r="E461" s="4">
        <v>11.97</v>
      </c>
      <c r="F461" s="3">
        <v>46</v>
      </c>
      <c r="G461" s="3">
        <f t="shared" si="21"/>
        <v>550.62</v>
      </c>
      <c r="H461" s="3">
        <f t="shared" si="22"/>
        <v>27.531000000000002</v>
      </c>
      <c r="I461" s="7">
        <v>5.81</v>
      </c>
      <c r="J461" s="5">
        <f t="shared" si="23"/>
        <v>517.27900000000011</v>
      </c>
    </row>
    <row r="462" spans="1:10" x14ac:dyDescent="0.35">
      <c r="A462" s="3" t="s">
        <v>470</v>
      </c>
      <c r="B462" s="6">
        <v>43218</v>
      </c>
      <c r="C462" s="10" t="s">
        <v>11</v>
      </c>
      <c r="D462" s="3" t="s">
        <v>27</v>
      </c>
      <c r="E462" s="4">
        <v>12.22</v>
      </c>
      <c r="F462" s="3">
        <v>18</v>
      </c>
      <c r="G462" s="3">
        <f t="shared" si="21"/>
        <v>219.96</v>
      </c>
      <c r="H462" s="3">
        <f t="shared" si="22"/>
        <v>10.998000000000001</v>
      </c>
      <c r="I462" s="7">
        <v>2.85</v>
      </c>
      <c r="J462" s="5">
        <f t="shared" si="23"/>
        <v>206.11200000000002</v>
      </c>
    </row>
    <row r="463" spans="1:10" x14ac:dyDescent="0.35">
      <c r="A463" s="3" t="s">
        <v>471</v>
      </c>
      <c r="B463" s="6">
        <v>43212</v>
      </c>
      <c r="C463" s="10" t="s">
        <v>11</v>
      </c>
      <c r="D463" s="3" t="s">
        <v>9</v>
      </c>
      <c r="E463" s="4">
        <v>136.97999999999999</v>
      </c>
      <c r="F463" s="3">
        <v>44</v>
      </c>
      <c r="G463" s="3">
        <f t="shared" si="21"/>
        <v>6027.12</v>
      </c>
      <c r="H463" s="3">
        <f t="shared" si="22"/>
        <v>301.35599999999999</v>
      </c>
      <c r="I463" s="7">
        <v>24.49</v>
      </c>
      <c r="J463" s="5">
        <f t="shared" si="23"/>
        <v>5701.2740000000003</v>
      </c>
    </row>
    <row r="464" spans="1:10" x14ac:dyDescent="0.35">
      <c r="A464" s="3" t="s">
        <v>472</v>
      </c>
      <c r="B464" s="6">
        <v>43207</v>
      </c>
      <c r="C464" s="10" t="s">
        <v>11</v>
      </c>
      <c r="D464" s="3" t="s">
        <v>9</v>
      </c>
      <c r="E464" s="4">
        <v>2.84</v>
      </c>
      <c r="F464" s="3">
        <v>48</v>
      </c>
      <c r="G464" s="3">
        <f t="shared" si="21"/>
        <v>136.32</v>
      </c>
      <c r="H464" s="3">
        <f t="shared" si="22"/>
        <v>6.8159999999999998</v>
      </c>
      <c r="I464" s="7">
        <v>0.93</v>
      </c>
      <c r="J464" s="5">
        <f t="shared" si="23"/>
        <v>128.57399999999998</v>
      </c>
    </row>
    <row r="465" spans="1:10" x14ac:dyDescent="0.35">
      <c r="A465" s="3" t="s">
        <v>473</v>
      </c>
      <c r="B465" s="6">
        <v>43203</v>
      </c>
      <c r="C465" s="10" t="s">
        <v>11</v>
      </c>
      <c r="D465" s="3" t="s">
        <v>9</v>
      </c>
      <c r="E465" s="4">
        <v>7.28</v>
      </c>
      <c r="F465" s="3">
        <v>11</v>
      </c>
      <c r="G465" s="3">
        <f t="shared" si="21"/>
        <v>80.08</v>
      </c>
      <c r="H465" s="3">
        <f t="shared" si="22"/>
        <v>4.0040000000000004</v>
      </c>
      <c r="I465" s="7">
        <v>11.15</v>
      </c>
      <c r="J465" s="5">
        <f t="shared" si="23"/>
        <v>64.925999999999988</v>
      </c>
    </row>
    <row r="466" spans="1:10" x14ac:dyDescent="0.35">
      <c r="A466" s="3" t="s">
        <v>474</v>
      </c>
      <c r="B466" s="6">
        <v>43202</v>
      </c>
      <c r="C466" s="10" t="s">
        <v>11</v>
      </c>
      <c r="D466" s="3" t="s">
        <v>9</v>
      </c>
      <c r="E466" s="4">
        <v>10.23</v>
      </c>
      <c r="F466" s="3">
        <v>22</v>
      </c>
      <c r="G466" s="3">
        <f t="shared" si="21"/>
        <v>225.06</v>
      </c>
      <c r="H466" s="3">
        <f t="shared" si="22"/>
        <v>11.253</v>
      </c>
      <c r="I466" s="7">
        <v>4.68</v>
      </c>
      <c r="J466" s="5">
        <f t="shared" si="23"/>
        <v>209.12700000000001</v>
      </c>
    </row>
    <row r="467" spans="1:10" x14ac:dyDescent="0.35">
      <c r="A467" s="3" t="s">
        <v>475</v>
      </c>
      <c r="B467" s="6">
        <v>43198</v>
      </c>
      <c r="C467" s="10" t="s">
        <v>11</v>
      </c>
      <c r="D467" s="3" t="s">
        <v>9</v>
      </c>
      <c r="E467" s="4">
        <v>1.26</v>
      </c>
      <c r="F467" s="3">
        <v>35</v>
      </c>
      <c r="G467" s="3">
        <f t="shared" si="21"/>
        <v>44.1</v>
      </c>
      <c r="H467" s="3">
        <f t="shared" si="22"/>
        <v>2.2050000000000001</v>
      </c>
      <c r="I467" s="7">
        <v>0.7</v>
      </c>
      <c r="J467" s="5">
        <f t="shared" si="23"/>
        <v>41.195</v>
      </c>
    </row>
    <row r="468" spans="1:10" x14ac:dyDescent="0.35">
      <c r="A468" s="3" t="s">
        <v>476</v>
      </c>
      <c r="B468" s="6">
        <v>43194</v>
      </c>
      <c r="C468" s="10" t="s">
        <v>11</v>
      </c>
      <c r="D468" s="3" t="s">
        <v>9</v>
      </c>
      <c r="E468" s="4">
        <v>6.3</v>
      </c>
      <c r="F468" s="3">
        <v>18</v>
      </c>
      <c r="G468" s="3">
        <f t="shared" si="21"/>
        <v>113.39999999999999</v>
      </c>
      <c r="H468" s="3">
        <f t="shared" si="22"/>
        <v>5.67</v>
      </c>
      <c r="I468" s="7">
        <v>0.5</v>
      </c>
      <c r="J468" s="5">
        <f t="shared" si="23"/>
        <v>107.22999999999999</v>
      </c>
    </row>
    <row r="469" spans="1:10" x14ac:dyDescent="0.35">
      <c r="A469" s="3" t="s">
        <v>477</v>
      </c>
      <c r="B469" s="6">
        <v>43192</v>
      </c>
      <c r="C469" s="10" t="s">
        <v>11</v>
      </c>
      <c r="D469" s="3" t="s">
        <v>9</v>
      </c>
      <c r="E469" s="4">
        <v>20.98</v>
      </c>
      <c r="F469" s="3">
        <v>39</v>
      </c>
      <c r="G469" s="3">
        <f t="shared" si="21"/>
        <v>818.22</v>
      </c>
      <c r="H469" s="3">
        <f t="shared" si="22"/>
        <v>40.911000000000001</v>
      </c>
      <c r="I469" s="7">
        <v>5.42</v>
      </c>
      <c r="J469" s="5">
        <f t="shared" si="23"/>
        <v>771.88900000000001</v>
      </c>
    </row>
    <row r="470" spans="1:10" x14ac:dyDescent="0.35">
      <c r="A470" s="3" t="s">
        <v>478</v>
      </c>
      <c r="B470" s="6">
        <v>43182</v>
      </c>
      <c r="C470" s="10" t="s">
        <v>11</v>
      </c>
      <c r="D470" s="3" t="s">
        <v>9</v>
      </c>
      <c r="E470" s="4">
        <v>35.44</v>
      </c>
      <c r="F470" s="3">
        <v>21</v>
      </c>
      <c r="G470" s="3">
        <f t="shared" si="21"/>
        <v>744.24</v>
      </c>
      <c r="H470" s="3">
        <f t="shared" si="22"/>
        <v>37.212000000000003</v>
      </c>
      <c r="I470" s="7">
        <v>4.92</v>
      </c>
      <c r="J470" s="5">
        <f t="shared" si="23"/>
        <v>702.10800000000006</v>
      </c>
    </row>
    <row r="471" spans="1:10" x14ac:dyDescent="0.35">
      <c r="A471" s="3" t="s">
        <v>479</v>
      </c>
      <c r="B471" s="6">
        <v>43180</v>
      </c>
      <c r="C471" s="10" t="s">
        <v>11</v>
      </c>
      <c r="D471" s="3" t="s">
        <v>9</v>
      </c>
      <c r="E471" s="4">
        <v>7.08</v>
      </c>
      <c r="F471" s="3">
        <v>34</v>
      </c>
      <c r="G471" s="3">
        <f t="shared" si="21"/>
        <v>240.72</v>
      </c>
      <c r="H471" s="3">
        <f t="shared" si="22"/>
        <v>12.036000000000001</v>
      </c>
      <c r="I471" s="7">
        <v>2.35</v>
      </c>
      <c r="J471" s="5">
        <f t="shared" si="23"/>
        <v>226.334</v>
      </c>
    </row>
    <row r="472" spans="1:10" x14ac:dyDescent="0.35">
      <c r="A472" s="3" t="s">
        <v>480</v>
      </c>
      <c r="B472" s="6">
        <v>43176</v>
      </c>
      <c r="C472" s="10" t="s">
        <v>11</v>
      </c>
      <c r="D472" s="3" t="s">
        <v>9</v>
      </c>
      <c r="E472" s="4">
        <v>10.89</v>
      </c>
      <c r="F472" s="3">
        <v>32</v>
      </c>
      <c r="G472" s="3">
        <f t="shared" si="21"/>
        <v>348.48</v>
      </c>
      <c r="H472" s="3">
        <f t="shared" si="22"/>
        <v>17.424000000000003</v>
      </c>
      <c r="I472" s="7">
        <v>4.5</v>
      </c>
      <c r="J472" s="5">
        <f t="shared" si="23"/>
        <v>326.55600000000004</v>
      </c>
    </row>
    <row r="473" spans="1:10" x14ac:dyDescent="0.35">
      <c r="A473" s="3" t="s">
        <v>481</v>
      </c>
      <c r="B473" s="6">
        <v>43164</v>
      </c>
      <c r="C473" s="10" t="s">
        <v>11</v>
      </c>
      <c r="D473" s="3" t="s">
        <v>9</v>
      </c>
      <c r="E473" s="4">
        <v>2.67</v>
      </c>
      <c r="F473" s="3">
        <v>19</v>
      </c>
      <c r="G473" s="3">
        <f t="shared" si="21"/>
        <v>50.73</v>
      </c>
      <c r="H473" s="3">
        <f t="shared" si="22"/>
        <v>2.5365000000000002</v>
      </c>
      <c r="I473" s="7">
        <v>0.86</v>
      </c>
      <c r="J473" s="5">
        <f t="shared" si="23"/>
        <v>47.333500000000001</v>
      </c>
    </row>
    <row r="474" spans="1:10" x14ac:dyDescent="0.35">
      <c r="A474" s="3" t="s">
        <v>482</v>
      </c>
      <c r="B474" s="6">
        <v>43160</v>
      </c>
      <c r="C474" s="10" t="s">
        <v>11</v>
      </c>
      <c r="D474" s="3" t="s">
        <v>9</v>
      </c>
      <c r="E474" s="4">
        <v>20.99</v>
      </c>
      <c r="F474" s="3">
        <v>42</v>
      </c>
      <c r="G474" s="3">
        <f t="shared" si="21"/>
        <v>881.57999999999993</v>
      </c>
      <c r="H474" s="3">
        <f t="shared" si="22"/>
        <v>44.079000000000001</v>
      </c>
      <c r="I474" s="7">
        <v>4.8099999999999996</v>
      </c>
      <c r="J474" s="5">
        <f t="shared" si="23"/>
        <v>832.69100000000003</v>
      </c>
    </row>
    <row r="475" spans="1:10" x14ac:dyDescent="0.35">
      <c r="A475" s="3" t="s">
        <v>483</v>
      </c>
      <c r="B475" s="6">
        <v>43156</v>
      </c>
      <c r="C475" s="10" t="s">
        <v>11</v>
      </c>
      <c r="D475" s="3" t="s">
        <v>27</v>
      </c>
      <c r="E475" s="4">
        <v>3.98</v>
      </c>
      <c r="F475" s="3">
        <v>11</v>
      </c>
      <c r="G475" s="3">
        <f t="shared" si="21"/>
        <v>43.78</v>
      </c>
      <c r="H475" s="3">
        <f t="shared" si="22"/>
        <v>2.1890000000000001</v>
      </c>
      <c r="I475" s="7">
        <v>2.97</v>
      </c>
      <c r="J475" s="5">
        <f t="shared" si="23"/>
        <v>38.621000000000002</v>
      </c>
    </row>
    <row r="476" spans="1:10" x14ac:dyDescent="0.35">
      <c r="A476" s="3" t="s">
        <v>484</v>
      </c>
      <c r="B476" s="6">
        <v>43148</v>
      </c>
      <c r="C476" s="10" t="s">
        <v>11</v>
      </c>
      <c r="D476" s="3" t="s">
        <v>9</v>
      </c>
      <c r="E476" s="4">
        <v>12.22</v>
      </c>
      <c r="F476" s="3">
        <v>19</v>
      </c>
      <c r="G476" s="3">
        <f t="shared" si="21"/>
        <v>232.18</v>
      </c>
      <c r="H476" s="3">
        <f t="shared" si="22"/>
        <v>11.609000000000002</v>
      </c>
      <c r="I476" s="7">
        <v>2.85</v>
      </c>
      <c r="J476" s="5">
        <f t="shared" si="23"/>
        <v>217.721</v>
      </c>
    </row>
    <row r="477" spans="1:10" x14ac:dyDescent="0.35">
      <c r="A477" s="3" t="s">
        <v>485</v>
      </c>
      <c r="B477" s="6">
        <v>43138</v>
      </c>
      <c r="C477" s="10" t="s">
        <v>11</v>
      </c>
      <c r="D477" s="3" t="s">
        <v>9</v>
      </c>
      <c r="E477" s="4">
        <v>35.94</v>
      </c>
      <c r="F477" s="3">
        <v>13</v>
      </c>
      <c r="G477" s="3">
        <f t="shared" si="21"/>
        <v>467.21999999999997</v>
      </c>
      <c r="H477" s="3">
        <f t="shared" si="22"/>
        <v>23.361000000000001</v>
      </c>
      <c r="I477" s="7">
        <v>6.66</v>
      </c>
      <c r="J477" s="5">
        <f t="shared" si="23"/>
        <v>437.19899999999996</v>
      </c>
    </row>
    <row r="478" spans="1:10" x14ac:dyDescent="0.35">
      <c r="A478" s="3" t="s">
        <v>486</v>
      </c>
      <c r="B478" s="6">
        <v>43127</v>
      </c>
      <c r="C478" s="10" t="s">
        <v>11</v>
      </c>
      <c r="D478" s="3" t="s">
        <v>9</v>
      </c>
      <c r="E478" s="4">
        <v>20.98</v>
      </c>
      <c r="F478" s="3">
        <v>23</v>
      </c>
      <c r="G478" s="3">
        <f t="shared" si="21"/>
        <v>482.54</v>
      </c>
      <c r="H478" s="3">
        <f t="shared" si="22"/>
        <v>24.127000000000002</v>
      </c>
      <c r="I478" s="7">
        <v>1.49</v>
      </c>
      <c r="J478" s="5">
        <f t="shared" si="23"/>
        <v>456.923</v>
      </c>
    </row>
    <row r="479" spans="1:10" x14ac:dyDescent="0.35">
      <c r="A479" s="3" t="s">
        <v>487</v>
      </c>
      <c r="B479" s="6">
        <v>43122</v>
      </c>
      <c r="C479" s="10" t="s">
        <v>11</v>
      </c>
      <c r="D479" s="3" t="s">
        <v>9</v>
      </c>
      <c r="E479" s="4">
        <v>4.91</v>
      </c>
      <c r="F479" s="3">
        <v>12</v>
      </c>
      <c r="G479" s="3">
        <f t="shared" si="21"/>
        <v>58.92</v>
      </c>
      <c r="H479" s="3">
        <f t="shared" si="22"/>
        <v>2.9460000000000002</v>
      </c>
      <c r="I479" s="7">
        <v>0.5</v>
      </c>
      <c r="J479" s="5">
        <f t="shared" si="23"/>
        <v>55.474000000000004</v>
      </c>
    </row>
    <row r="480" spans="1:10" x14ac:dyDescent="0.35">
      <c r="A480" s="3" t="s">
        <v>488</v>
      </c>
      <c r="B480" s="6">
        <v>43121</v>
      </c>
      <c r="C480" s="10" t="s">
        <v>11</v>
      </c>
      <c r="D480" s="3" t="s">
        <v>9</v>
      </c>
      <c r="E480" s="4">
        <v>80.98</v>
      </c>
      <c r="F480" s="3">
        <v>13</v>
      </c>
      <c r="G480" s="3">
        <f t="shared" si="21"/>
        <v>1052.74</v>
      </c>
      <c r="H480" s="3">
        <f t="shared" si="22"/>
        <v>52.637</v>
      </c>
      <c r="I480" s="7">
        <v>7.18</v>
      </c>
      <c r="J480" s="5">
        <f t="shared" si="23"/>
        <v>992.92300000000012</v>
      </c>
    </row>
    <row r="481" spans="1:10" x14ac:dyDescent="0.35">
      <c r="A481" s="3" t="s">
        <v>489</v>
      </c>
      <c r="B481" s="6">
        <v>43116</v>
      </c>
      <c r="C481" s="10" t="s">
        <v>11</v>
      </c>
      <c r="D481" s="3" t="s">
        <v>9</v>
      </c>
      <c r="E481" s="4">
        <v>8.6</v>
      </c>
      <c r="F481" s="3">
        <v>6</v>
      </c>
      <c r="G481" s="3">
        <f t="shared" si="21"/>
        <v>51.599999999999994</v>
      </c>
      <c r="H481" s="3">
        <f t="shared" si="22"/>
        <v>2.58</v>
      </c>
      <c r="I481" s="7">
        <v>6.19</v>
      </c>
      <c r="J481" s="5">
        <f t="shared" si="23"/>
        <v>42.83</v>
      </c>
    </row>
    <row r="482" spans="1:10" x14ac:dyDescent="0.35">
      <c r="A482" s="3" t="s">
        <v>490</v>
      </c>
      <c r="B482" s="6">
        <v>43109</v>
      </c>
      <c r="C482" s="10" t="s">
        <v>11</v>
      </c>
      <c r="D482" s="3" t="s">
        <v>27</v>
      </c>
      <c r="E482" s="4">
        <v>40.97</v>
      </c>
      <c r="F482" s="3">
        <v>49</v>
      </c>
      <c r="G482" s="3">
        <f t="shared" si="21"/>
        <v>2007.53</v>
      </c>
      <c r="H482" s="3">
        <f t="shared" si="22"/>
        <v>100.37650000000001</v>
      </c>
      <c r="I482" s="7">
        <v>8.99</v>
      </c>
      <c r="J482" s="5">
        <f t="shared" si="23"/>
        <v>1898.1634999999999</v>
      </c>
    </row>
    <row r="483" spans="1:10" x14ac:dyDescent="0.35">
      <c r="A483" s="3" t="s">
        <v>491</v>
      </c>
      <c r="B483" s="6">
        <v>43105</v>
      </c>
      <c r="C483" s="10" t="s">
        <v>587</v>
      </c>
      <c r="D483" s="3" t="s">
        <v>27</v>
      </c>
      <c r="E483" s="4">
        <v>5.74</v>
      </c>
      <c r="F483" s="3">
        <v>27</v>
      </c>
      <c r="G483" s="3">
        <f t="shared" si="21"/>
        <v>154.98000000000002</v>
      </c>
      <c r="H483" s="3">
        <f t="shared" si="22"/>
        <v>7.7490000000000014</v>
      </c>
      <c r="I483" s="7">
        <v>5.01</v>
      </c>
      <c r="J483" s="5">
        <f t="shared" si="23"/>
        <v>142.22100000000003</v>
      </c>
    </row>
    <row r="484" spans="1:10" x14ac:dyDescent="0.35">
      <c r="A484" s="3" t="s">
        <v>492</v>
      </c>
      <c r="B484" s="6">
        <v>43104</v>
      </c>
      <c r="C484" s="10" t="s">
        <v>587</v>
      </c>
      <c r="D484" s="3" t="s">
        <v>19</v>
      </c>
      <c r="E484" s="4">
        <v>119.99</v>
      </c>
      <c r="F484" s="3">
        <v>4</v>
      </c>
      <c r="G484" s="3">
        <f t="shared" si="21"/>
        <v>479.96</v>
      </c>
      <c r="H484" s="3">
        <f t="shared" si="22"/>
        <v>23.998000000000001</v>
      </c>
      <c r="I484" s="7">
        <v>14</v>
      </c>
      <c r="J484" s="5">
        <f t="shared" si="23"/>
        <v>441.96199999999999</v>
      </c>
    </row>
    <row r="485" spans="1:10" x14ac:dyDescent="0.35">
      <c r="A485" s="3" t="s">
        <v>493</v>
      </c>
      <c r="B485" s="6">
        <v>43103</v>
      </c>
      <c r="C485" s="10" t="s">
        <v>587</v>
      </c>
      <c r="D485" s="3" t="s">
        <v>9</v>
      </c>
      <c r="E485" s="4">
        <v>6.68</v>
      </c>
      <c r="F485" s="3">
        <v>15</v>
      </c>
      <c r="G485" s="3">
        <f t="shared" si="21"/>
        <v>100.19999999999999</v>
      </c>
      <c r="H485" s="3">
        <f t="shared" si="22"/>
        <v>5.01</v>
      </c>
      <c r="I485" s="7">
        <v>1.5</v>
      </c>
      <c r="J485" s="5">
        <f t="shared" si="23"/>
        <v>93.689999999999984</v>
      </c>
    </row>
    <row r="486" spans="1:10" x14ac:dyDescent="0.35">
      <c r="A486" s="3" t="s">
        <v>494</v>
      </c>
      <c r="B486" s="6">
        <v>43102</v>
      </c>
      <c r="C486" s="10" t="s">
        <v>587</v>
      </c>
      <c r="D486" s="3" t="s">
        <v>9</v>
      </c>
      <c r="E486" s="4">
        <v>7.28</v>
      </c>
      <c r="F486" s="3">
        <v>3</v>
      </c>
      <c r="G486" s="3">
        <f t="shared" si="21"/>
        <v>21.84</v>
      </c>
      <c r="H486" s="3">
        <f t="shared" si="22"/>
        <v>1.0920000000000001</v>
      </c>
      <c r="I486" s="7">
        <v>11.15</v>
      </c>
      <c r="J486" s="5">
        <f t="shared" si="23"/>
        <v>9.5980000000000008</v>
      </c>
    </row>
    <row r="487" spans="1:10" x14ac:dyDescent="0.35">
      <c r="A487" s="3" t="s">
        <v>495</v>
      </c>
      <c r="B487" s="6">
        <v>43101</v>
      </c>
      <c r="C487" s="10" t="s">
        <v>587</v>
      </c>
      <c r="D487" s="3" t="s">
        <v>9</v>
      </c>
      <c r="E487" s="4">
        <v>2.62</v>
      </c>
      <c r="F487" s="3">
        <v>26</v>
      </c>
      <c r="G487" s="3">
        <f t="shared" si="21"/>
        <v>68.12</v>
      </c>
      <c r="H487" s="3">
        <f t="shared" si="22"/>
        <v>3.4060000000000006</v>
      </c>
      <c r="I487" s="7">
        <v>0.8</v>
      </c>
      <c r="J487" s="5">
        <f t="shared" si="23"/>
        <v>63.914000000000001</v>
      </c>
    </row>
    <row r="488" spans="1:10" x14ac:dyDescent="0.35">
      <c r="A488" s="3" t="s">
        <v>496</v>
      </c>
      <c r="B488" s="6">
        <v>43100</v>
      </c>
      <c r="C488" s="10" t="s">
        <v>587</v>
      </c>
      <c r="D488" s="3" t="s">
        <v>9</v>
      </c>
      <c r="E488" s="4">
        <v>35.94</v>
      </c>
      <c r="F488" s="3">
        <v>19</v>
      </c>
      <c r="G488" s="3">
        <f t="shared" si="21"/>
        <v>682.8599999999999</v>
      </c>
      <c r="H488" s="3">
        <f t="shared" si="22"/>
        <v>34.142999999999994</v>
      </c>
      <c r="I488" s="7">
        <v>6.66</v>
      </c>
      <c r="J488" s="5">
        <f t="shared" si="23"/>
        <v>642.0569999999999</v>
      </c>
    </row>
    <row r="489" spans="1:10" x14ac:dyDescent="0.35">
      <c r="A489" s="3" t="s">
        <v>497</v>
      </c>
      <c r="B489" s="6">
        <v>43099</v>
      </c>
      <c r="C489" s="10" t="s">
        <v>587</v>
      </c>
      <c r="D489" s="3" t="s">
        <v>27</v>
      </c>
      <c r="E489" s="4">
        <v>152.47999999999999</v>
      </c>
      <c r="F489" s="3">
        <v>2</v>
      </c>
      <c r="G489" s="3">
        <f t="shared" si="21"/>
        <v>304.95999999999998</v>
      </c>
      <c r="H489" s="3">
        <f t="shared" si="22"/>
        <v>15.247999999999999</v>
      </c>
      <c r="I489" s="7">
        <v>6.5</v>
      </c>
      <c r="J489" s="5">
        <f t="shared" si="23"/>
        <v>283.21199999999999</v>
      </c>
    </row>
    <row r="490" spans="1:10" x14ac:dyDescent="0.35">
      <c r="A490" s="3" t="s">
        <v>498</v>
      </c>
      <c r="B490" s="6">
        <v>43098</v>
      </c>
      <c r="C490" s="10" t="s">
        <v>587</v>
      </c>
      <c r="D490" s="3" t="s">
        <v>9</v>
      </c>
      <c r="E490" s="4">
        <v>8.57</v>
      </c>
      <c r="F490" s="3">
        <v>24</v>
      </c>
      <c r="G490" s="3">
        <f t="shared" si="21"/>
        <v>205.68</v>
      </c>
      <c r="H490" s="3">
        <f t="shared" si="22"/>
        <v>10.284000000000001</v>
      </c>
      <c r="I490" s="7">
        <v>6.14</v>
      </c>
      <c r="J490" s="5">
        <f t="shared" si="23"/>
        <v>189.25600000000003</v>
      </c>
    </row>
    <row r="491" spans="1:10" x14ac:dyDescent="0.35">
      <c r="A491" s="3" t="s">
        <v>499</v>
      </c>
      <c r="B491" s="6">
        <v>43097</v>
      </c>
      <c r="C491" s="10" t="s">
        <v>587</v>
      </c>
      <c r="D491" s="3" t="s">
        <v>9</v>
      </c>
      <c r="E491" s="4">
        <v>3.89</v>
      </c>
      <c r="F491" s="3">
        <v>47</v>
      </c>
      <c r="G491" s="3">
        <f t="shared" si="21"/>
        <v>182.83</v>
      </c>
      <c r="H491" s="3">
        <f t="shared" si="22"/>
        <v>9.1415000000000006</v>
      </c>
      <c r="I491" s="7">
        <v>7.01</v>
      </c>
      <c r="J491" s="5">
        <f t="shared" si="23"/>
        <v>166.67850000000001</v>
      </c>
    </row>
    <row r="492" spans="1:10" x14ac:dyDescent="0.35">
      <c r="A492" s="3" t="s">
        <v>500</v>
      </c>
      <c r="B492" s="6">
        <v>43096</v>
      </c>
      <c r="C492" s="10" t="s">
        <v>587</v>
      </c>
      <c r="D492" s="3" t="s">
        <v>9</v>
      </c>
      <c r="E492" s="4">
        <v>12.22</v>
      </c>
      <c r="F492" s="3">
        <v>27</v>
      </c>
      <c r="G492" s="3">
        <f t="shared" si="21"/>
        <v>329.94</v>
      </c>
      <c r="H492" s="3">
        <f t="shared" si="22"/>
        <v>16.497</v>
      </c>
      <c r="I492" s="7">
        <v>2.85</v>
      </c>
      <c r="J492" s="5">
        <f t="shared" si="23"/>
        <v>310.59299999999996</v>
      </c>
    </row>
    <row r="493" spans="1:10" x14ac:dyDescent="0.35">
      <c r="A493" s="3" t="s">
        <v>501</v>
      </c>
      <c r="B493" s="6">
        <v>43095</v>
      </c>
      <c r="C493" s="10" t="s">
        <v>587</v>
      </c>
      <c r="D493" s="3" t="s">
        <v>9</v>
      </c>
      <c r="E493" s="4">
        <v>2.94</v>
      </c>
      <c r="F493" s="3">
        <v>23</v>
      </c>
      <c r="G493" s="3">
        <f t="shared" si="21"/>
        <v>67.62</v>
      </c>
      <c r="H493" s="3">
        <f t="shared" si="22"/>
        <v>3.3810000000000002</v>
      </c>
      <c r="I493" s="7">
        <v>0.81</v>
      </c>
      <c r="J493" s="5">
        <f t="shared" si="23"/>
        <v>63.429000000000002</v>
      </c>
    </row>
    <row r="494" spans="1:10" x14ac:dyDescent="0.35">
      <c r="A494" s="3" t="s">
        <v>502</v>
      </c>
      <c r="B494" s="6">
        <v>43094</v>
      </c>
      <c r="C494" s="10" t="s">
        <v>587</v>
      </c>
      <c r="D494" s="3" t="s">
        <v>9</v>
      </c>
      <c r="E494" s="4">
        <v>19.98</v>
      </c>
      <c r="F494" s="3">
        <v>47</v>
      </c>
      <c r="G494" s="3">
        <f t="shared" si="21"/>
        <v>939.06000000000006</v>
      </c>
      <c r="H494" s="3">
        <f t="shared" si="22"/>
        <v>46.953000000000003</v>
      </c>
      <c r="I494" s="7">
        <v>5.77</v>
      </c>
      <c r="J494" s="5">
        <f t="shared" si="23"/>
        <v>886.3370000000001</v>
      </c>
    </row>
    <row r="495" spans="1:10" x14ac:dyDescent="0.35">
      <c r="A495" s="3" t="s">
        <v>503</v>
      </c>
      <c r="B495" s="6">
        <v>43093</v>
      </c>
      <c r="C495" s="10" t="s">
        <v>587</v>
      </c>
      <c r="D495" s="3" t="s">
        <v>9</v>
      </c>
      <c r="E495" s="4">
        <v>5.53</v>
      </c>
      <c r="F495" s="3">
        <v>17</v>
      </c>
      <c r="G495" s="3">
        <f t="shared" si="21"/>
        <v>94.01</v>
      </c>
      <c r="H495" s="3">
        <f t="shared" si="22"/>
        <v>4.7005000000000008</v>
      </c>
      <c r="I495" s="7">
        <v>6.98</v>
      </c>
      <c r="J495" s="5">
        <f t="shared" si="23"/>
        <v>82.329499999999996</v>
      </c>
    </row>
    <row r="496" spans="1:10" x14ac:dyDescent="0.35">
      <c r="A496" s="3" t="s">
        <v>504</v>
      </c>
      <c r="B496" s="6">
        <v>43092</v>
      </c>
      <c r="C496" s="10" t="s">
        <v>587</v>
      </c>
      <c r="D496" s="3" t="s">
        <v>9</v>
      </c>
      <c r="E496" s="4">
        <v>5.18</v>
      </c>
      <c r="F496" s="3">
        <v>8</v>
      </c>
      <c r="G496" s="3">
        <f t="shared" si="21"/>
        <v>41.44</v>
      </c>
      <c r="H496" s="3">
        <f t="shared" si="22"/>
        <v>2.0720000000000001</v>
      </c>
      <c r="I496" s="7">
        <v>2.04</v>
      </c>
      <c r="J496" s="5">
        <f t="shared" si="23"/>
        <v>37.327999999999996</v>
      </c>
    </row>
    <row r="497" spans="1:10" x14ac:dyDescent="0.35">
      <c r="A497" s="3" t="s">
        <v>505</v>
      </c>
      <c r="B497" s="6">
        <v>43091</v>
      </c>
      <c r="C497" s="10" t="s">
        <v>587</v>
      </c>
      <c r="D497" s="3" t="s">
        <v>27</v>
      </c>
      <c r="E497" s="4">
        <v>7.08</v>
      </c>
      <c r="F497" s="3">
        <v>29</v>
      </c>
      <c r="G497" s="3">
        <f t="shared" si="21"/>
        <v>205.32</v>
      </c>
      <c r="H497" s="3">
        <f t="shared" si="22"/>
        <v>10.266</v>
      </c>
      <c r="I497" s="7">
        <v>2.35</v>
      </c>
      <c r="J497" s="5">
        <f t="shared" si="23"/>
        <v>192.70400000000001</v>
      </c>
    </row>
    <row r="498" spans="1:10" x14ac:dyDescent="0.35">
      <c r="A498" s="3" t="s">
        <v>506</v>
      </c>
      <c r="B498" s="6">
        <v>43090</v>
      </c>
      <c r="C498" s="10" t="s">
        <v>587</v>
      </c>
      <c r="D498" s="3" t="s">
        <v>9</v>
      </c>
      <c r="E498" s="4">
        <v>3.69</v>
      </c>
      <c r="F498" s="3">
        <v>42</v>
      </c>
      <c r="G498" s="3">
        <f t="shared" si="21"/>
        <v>154.97999999999999</v>
      </c>
      <c r="H498" s="3">
        <f t="shared" si="22"/>
        <v>7.7489999999999997</v>
      </c>
      <c r="I498" s="7">
        <v>0.5</v>
      </c>
      <c r="J498" s="5">
        <f t="shared" si="23"/>
        <v>146.73099999999999</v>
      </c>
    </row>
    <row r="499" spans="1:10" x14ac:dyDescent="0.35">
      <c r="A499" s="3" t="s">
        <v>507</v>
      </c>
      <c r="B499" s="6">
        <v>43089</v>
      </c>
      <c r="C499" s="10" t="s">
        <v>587</v>
      </c>
      <c r="D499" s="3" t="s">
        <v>9</v>
      </c>
      <c r="E499" s="4">
        <v>9.85</v>
      </c>
      <c r="F499" s="3">
        <v>27</v>
      </c>
      <c r="G499" s="3">
        <f t="shared" si="21"/>
        <v>265.95</v>
      </c>
      <c r="H499" s="3">
        <f t="shared" si="22"/>
        <v>13.297499999999999</v>
      </c>
      <c r="I499" s="7">
        <v>4.82</v>
      </c>
      <c r="J499" s="5">
        <f t="shared" si="23"/>
        <v>247.83249999999998</v>
      </c>
    </row>
    <row r="500" spans="1:10" x14ac:dyDescent="0.35">
      <c r="A500" s="3" t="s">
        <v>508</v>
      </c>
      <c r="B500" s="6">
        <v>43088</v>
      </c>
      <c r="C500" s="10" t="s">
        <v>587</v>
      </c>
      <c r="D500" s="3" t="s">
        <v>9</v>
      </c>
      <c r="E500" s="4">
        <v>12.98</v>
      </c>
      <c r="F500" s="3">
        <v>40</v>
      </c>
      <c r="G500" s="3">
        <f t="shared" si="21"/>
        <v>519.20000000000005</v>
      </c>
      <c r="H500" s="3">
        <f t="shared" si="22"/>
        <v>25.960000000000004</v>
      </c>
      <c r="I500" s="7">
        <v>3.14</v>
      </c>
      <c r="J500" s="5">
        <f t="shared" si="23"/>
        <v>490.10000000000008</v>
      </c>
    </row>
    <row r="501" spans="1:10" x14ac:dyDescent="0.35">
      <c r="A501" s="3" t="s">
        <v>509</v>
      </c>
      <c r="B501" s="6">
        <v>43087</v>
      </c>
      <c r="C501" s="10" t="s">
        <v>587</v>
      </c>
      <c r="D501" s="3" t="s">
        <v>9</v>
      </c>
      <c r="E501" s="4">
        <v>7.3</v>
      </c>
      <c r="F501" s="3">
        <v>45</v>
      </c>
      <c r="G501" s="3">
        <f t="shared" si="21"/>
        <v>328.5</v>
      </c>
      <c r="H501" s="3">
        <f t="shared" si="22"/>
        <v>16.425000000000001</v>
      </c>
      <c r="I501" s="7">
        <v>7.72</v>
      </c>
      <c r="J501" s="5">
        <f t="shared" si="23"/>
        <v>304.35499999999996</v>
      </c>
    </row>
    <row r="502" spans="1:10" x14ac:dyDescent="0.35">
      <c r="A502" s="3" t="s">
        <v>510</v>
      </c>
      <c r="B502" s="6">
        <v>43086</v>
      </c>
      <c r="C502" s="10" t="s">
        <v>587</v>
      </c>
      <c r="D502" s="3" t="s">
        <v>9</v>
      </c>
      <c r="E502" s="4">
        <v>8.1199999999999992</v>
      </c>
      <c r="F502" s="3">
        <v>16</v>
      </c>
      <c r="G502" s="3">
        <f t="shared" si="21"/>
        <v>129.91999999999999</v>
      </c>
      <c r="H502" s="3">
        <f t="shared" si="22"/>
        <v>6.4959999999999996</v>
      </c>
      <c r="I502" s="7">
        <v>2.83</v>
      </c>
      <c r="J502" s="5">
        <f t="shared" si="23"/>
        <v>120.59399999999999</v>
      </c>
    </row>
    <row r="503" spans="1:10" x14ac:dyDescent="0.35">
      <c r="A503" s="3" t="s">
        <v>511</v>
      </c>
      <c r="B503" s="6">
        <v>43085</v>
      </c>
      <c r="C503" s="10" t="s">
        <v>587</v>
      </c>
      <c r="D503" s="3" t="s">
        <v>9</v>
      </c>
      <c r="E503" s="4">
        <v>3.08</v>
      </c>
      <c r="F503" s="3">
        <v>41</v>
      </c>
      <c r="G503" s="3">
        <f t="shared" si="21"/>
        <v>126.28</v>
      </c>
      <c r="H503" s="3">
        <f t="shared" si="22"/>
        <v>6.3140000000000001</v>
      </c>
      <c r="I503" s="7">
        <v>0.99</v>
      </c>
      <c r="J503" s="5">
        <f t="shared" si="23"/>
        <v>118.97600000000001</v>
      </c>
    </row>
    <row r="504" spans="1:10" x14ac:dyDescent="0.35">
      <c r="A504" s="3" t="s">
        <v>512</v>
      </c>
      <c r="B504" s="6">
        <v>43084</v>
      </c>
      <c r="C504" s="10" t="s">
        <v>587</v>
      </c>
      <c r="D504" s="3" t="s">
        <v>9</v>
      </c>
      <c r="E504" s="4">
        <v>8.1199999999999992</v>
      </c>
      <c r="F504" s="3">
        <v>37</v>
      </c>
      <c r="G504" s="3">
        <f t="shared" si="21"/>
        <v>300.44</v>
      </c>
      <c r="H504" s="3">
        <f t="shared" si="22"/>
        <v>15.022</v>
      </c>
      <c r="I504" s="7">
        <v>2.83</v>
      </c>
      <c r="J504" s="5">
        <f t="shared" si="23"/>
        <v>282.58800000000002</v>
      </c>
    </row>
    <row r="505" spans="1:10" x14ac:dyDescent="0.35">
      <c r="A505" s="3" t="s">
        <v>513</v>
      </c>
      <c r="B505" s="6">
        <v>43083</v>
      </c>
      <c r="C505" s="10" t="s">
        <v>587</v>
      </c>
      <c r="D505" s="3" t="s">
        <v>27</v>
      </c>
      <c r="E505" s="4">
        <v>40.97</v>
      </c>
      <c r="F505" s="3">
        <v>11</v>
      </c>
      <c r="G505" s="3">
        <f t="shared" si="21"/>
        <v>450.66999999999996</v>
      </c>
      <c r="H505" s="3">
        <f t="shared" si="22"/>
        <v>22.5335</v>
      </c>
      <c r="I505" s="7">
        <v>8.99</v>
      </c>
      <c r="J505" s="5">
        <f t="shared" si="23"/>
        <v>419.14649999999995</v>
      </c>
    </row>
    <row r="506" spans="1:10" x14ac:dyDescent="0.35">
      <c r="A506" s="3" t="s">
        <v>514</v>
      </c>
      <c r="B506" s="6">
        <v>43082</v>
      </c>
      <c r="C506" s="10" t="s">
        <v>587</v>
      </c>
      <c r="D506" s="3" t="s">
        <v>9</v>
      </c>
      <c r="E506" s="4">
        <v>5.4</v>
      </c>
      <c r="F506" s="3">
        <v>47</v>
      </c>
      <c r="G506" s="3">
        <f t="shared" si="21"/>
        <v>253.8</v>
      </c>
      <c r="H506" s="3">
        <f t="shared" si="22"/>
        <v>12.690000000000001</v>
      </c>
      <c r="I506" s="7">
        <v>7.78</v>
      </c>
      <c r="J506" s="5">
        <f t="shared" si="23"/>
        <v>233.33</v>
      </c>
    </row>
    <row r="507" spans="1:10" x14ac:dyDescent="0.35">
      <c r="A507" s="3" t="s">
        <v>515</v>
      </c>
      <c r="B507" s="6">
        <v>43068</v>
      </c>
      <c r="C507" s="10" t="s">
        <v>587</v>
      </c>
      <c r="D507" s="3" t="s">
        <v>9</v>
      </c>
      <c r="E507" s="4">
        <v>20.99</v>
      </c>
      <c r="F507" s="3">
        <v>25</v>
      </c>
      <c r="G507" s="3">
        <f t="shared" si="21"/>
        <v>524.75</v>
      </c>
      <c r="H507" s="3">
        <f t="shared" si="22"/>
        <v>26.237500000000001</v>
      </c>
      <c r="I507" s="7">
        <v>4.8099999999999996</v>
      </c>
      <c r="J507" s="5">
        <f t="shared" si="23"/>
        <v>493.70249999999999</v>
      </c>
    </row>
    <row r="508" spans="1:10" x14ac:dyDescent="0.35">
      <c r="A508" s="3" t="s">
        <v>516</v>
      </c>
      <c r="B508" s="6">
        <v>43067</v>
      </c>
      <c r="C508" s="10" t="s">
        <v>587</v>
      </c>
      <c r="D508" s="3" t="s">
        <v>9</v>
      </c>
      <c r="E508" s="4">
        <v>95.99</v>
      </c>
      <c r="F508" s="3">
        <v>17</v>
      </c>
      <c r="G508" s="3">
        <f t="shared" si="21"/>
        <v>1631.83</v>
      </c>
      <c r="H508" s="3">
        <f t="shared" si="22"/>
        <v>81.591499999999996</v>
      </c>
      <c r="I508" s="7">
        <v>8.99</v>
      </c>
      <c r="J508" s="5">
        <f t="shared" si="23"/>
        <v>1541.2484999999999</v>
      </c>
    </row>
    <row r="509" spans="1:10" x14ac:dyDescent="0.35">
      <c r="A509" s="3" t="s">
        <v>517</v>
      </c>
      <c r="B509" s="6">
        <v>43066</v>
      </c>
      <c r="C509" s="10" t="s">
        <v>587</v>
      </c>
      <c r="D509" s="3" t="s">
        <v>9</v>
      </c>
      <c r="E509" s="4">
        <v>2.08</v>
      </c>
      <c r="F509" s="3">
        <v>16</v>
      </c>
      <c r="G509" s="3">
        <f t="shared" si="21"/>
        <v>33.28</v>
      </c>
      <c r="H509" s="3">
        <f t="shared" si="22"/>
        <v>1.6640000000000001</v>
      </c>
      <c r="I509" s="7">
        <v>1.49</v>
      </c>
      <c r="J509" s="5">
        <f t="shared" si="23"/>
        <v>30.126000000000001</v>
      </c>
    </row>
    <row r="510" spans="1:10" x14ac:dyDescent="0.35">
      <c r="A510" s="3" t="s">
        <v>518</v>
      </c>
      <c r="B510" s="6">
        <v>43065</v>
      </c>
      <c r="C510" s="10" t="s">
        <v>587</v>
      </c>
      <c r="D510" s="3" t="s">
        <v>9</v>
      </c>
      <c r="E510" s="4">
        <v>415.88</v>
      </c>
      <c r="F510" s="3">
        <v>2</v>
      </c>
      <c r="G510" s="3">
        <f t="shared" si="21"/>
        <v>831.76</v>
      </c>
      <c r="H510" s="3">
        <f t="shared" si="22"/>
        <v>41.588000000000001</v>
      </c>
      <c r="I510" s="7">
        <v>11.37</v>
      </c>
      <c r="J510" s="5">
        <f t="shared" si="23"/>
        <v>778.80200000000002</v>
      </c>
    </row>
    <row r="511" spans="1:10" x14ac:dyDescent="0.35">
      <c r="A511" s="3" t="s">
        <v>519</v>
      </c>
      <c r="B511" s="6">
        <v>43064</v>
      </c>
      <c r="C511" s="10" t="s">
        <v>587</v>
      </c>
      <c r="D511" s="3" t="s">
        <v>27</v>
      </c>
      <c r="E511" s="4">
        <v>36.549999999999997</v>
      </c>
      <c r="F511" s="3">
        <v>46</v>
      </c>
      <c r="G511" s="3">
        <f t="shared" si="21"/>
        <v>1681.3</v>
      </c>
      <c r="H511" s="3">
        <f t="shared" si="22"/>
        <v>84.064999999999998</v>
      </c>
      <c r="I511" s="7">
        <v>13.89</v>
      </c>
      <c r="J511" s="5">
        <f t="shared" si="23"/>
        <v>1583.3449999999998</v>
      </c>
    </row>
    <row r="512" spans="1:10" x14ac:dyDescent="0.35">
      <c r="A512" s="3" t="s">
        <v>520</v>
      </c>
      <c r="B512" s="6">
        <v>43063</v>
      </c>
      <c r="C512" s="10" t="s">
        <v>587</v>
      </c>
      <c r="D512" s="3" t="s">
        <v>27</v>
      </c>
      <c r="E512" s="4">
        <v>35.409999999999997</v>
      </c>
      <c r="F512" s="3">
        <v>16</v>
      </c>
      <c r="G512" s="3">
        <f t="shared" si="21"/>
        <v>566.55999999999995</v>
      </c>
      <c r="H512" s="3">
        <f t="shared" si="22"/>
        <v>28.327999999999999</v>
      </c>
      <c r="I512" s="7">
        <v>1.99</v>
      </c>
      <c r="J512" s="5">
        <f t="shared" si="23"/>
        <v>536.24199999999996</v>
      </c>
    </row>
    <row r="513" spans="1:10" x14ac:dyDescent="0.35">
      <c r="A513" s="3" t="s">
        <v>521</v>
      </c>
      <c r="B513" s="6">
        <v>43062</v>
      </c>
      <c r="C513" s="10" t="s">
        <v>587</v>
      </c>
      <c r="D513" s="3" t="s">
        <v>9</v>
      </c>
      <c r="E513" s="4">
        <v>5.18</v>
      </c>
      <c r="F513" s="3">
        <v>10</v>
      </c>
      <c r="G513" s="3">
        <f t="shared" si="21"/>
        <v>51.8</v>
      </c>
      <c r="H513" s="3">
        <f t="shared" si="22"/>
        <v>2.59</v>
      </c>
      <c r="I513" s="7">
        <v>2.04</v>
      </c>
      <c r="J513" s="5">
        <f t="shared" si="23"/>
        <v>47.169999999999995</v>
      </c>
    </row>
    <row r="514" spans="1:10" x14ac:dyDescent="0.35">
      <c r="A514" s="3" t="s">
        <v>522</v>
      </c>
      <c r="B514" s="6">
        <v>43061</v>
      </c>
      <c r="C514" s="10" t="s">
        <v>587</v>
      </c>
      <c r="D514" s="3" t="s">
        <v>9</v>
      </c>
      <c r="E514" s="4">
        <v>54.1</v>
      </c>
      <c r="F514" s="3">
        <v>19</v>
      </c>
      <c r="G514" s="3">
        <f t="shared" si="21"/>
        <v>1027.9000000000001</v>
      </c>
      <c r="H514" s="3">
        <f t="shared" si="22"/>
        <v>51.39500000000001</v>
      </c>
      <c r="I514" s="7">
        <v>19.989999999999998</v>
      </c>
      <c r="J514" s="5">
        <f t="shared" si="23"/>
        <v>956.5150000000001</v>
      </c>
    </row>
    <row r="515" spans="1:10" x14ac:dyDescent="0.35">
      <c r="A515" s="3" t="s">
        <v>523</v>
      </c>
      <c r="B515" s="6">
        <v>43060</v>
      </c>
      <c r="C515" s="10" t="s">
        <v>587</v>
      </c>
      <c r="D515" s="3" t="s">
        <v>9</v>
      </c>
      <c r="E515" s="4">
        <v>5.18</v>
      </c>
      <c r="F515" s="3">
        <v>23</v>
      </c>
      <c r="G515" s="3">
        <f t="shared" ref="G515:G578" si="24">E515*F515</f>
        <v>119.13999999999999</v>
      </c>
      <c r="H515" s="3">
        <f t="shared" ref="H515:H578" si="25">G515*5%</f>
        <v>5.9569999999999999</v>
      </c>
      <c r="I515" s="7">
        <v>2.04</v>
      </c>
      <c r="J515" s="5">
        <f t="shared" ref="J515:J578" si="26">G515-H515-I515</f>
        <v>111.14299999999999</v>
      </c>
    </row>
    <row r="516" spans="1:10" x14ac:dyDescent="0.35">
      <c r="A516" s="3" t="s">
        <v>524</v>
      </c>
      <c r="B516" s="6">
        <v>43059</v>
      </c>
      <c r="C516" s="10" t="s">
        <v>587</v>
      </c>
      <c r="D516" s="3" t="s">
        <v>9</v>
      </c>
      <c r="E516" s="4">
        <v>34.76</v>
      </c>
      <c r="F516" s="3">
        <v>15</v>
      </c>
      <c r="G516" s="3">
        <f t="shared" si="24"/>
        <v>521.4</v>
      </c>
      <c r="H516" s="3">
        <f t="shared" si="25"/>
        <v>26.07</v>
      </c>
      <c r="I516" s="7">
        <v>8.2200000000000006</v>
      </c>
      <c r="J516" s="5">
        <f t="shared" si="26"/>
        <v>487.10999999999996</v>
      </c>
    </row>
    <row r="517" spans="1:10" x14ac:dyDescent="0.35">
      <c r="A517" s="3" t="s">
        <v>525</v>
      </c>
      <c r="B517" s="6">
        <v>43058</v>
      </c>
      <c r="C517" s="10" t="s">
        <v>587</v>
      </c>
      <c r="D517" s="3" t="s">
        <v>9</v>
      </c>
      <c r="E517" s="4">
        <v>15.99</v>
      </c>
      <c r="F517" s="3">
        <v>27</v>
      </c>
      <c r="G517" s="3">
        <f t="shared" si="24"/>
        <v>431.73</v>
      </c>
      <c r="H517" s="3">
        <f t="shared" si="25"/>
        <v>21.586500000000001</v>
      </c>
      <c r="I517" s="7">
        <v>11.28</v>
      </c>
      <c r="J517" s="5">
        <f t="shared" si="26"/>
        <v>398.86350000000004</v>
      </c>
    </row>
    <row r="518" spans="1:10" x14ac:dyDescent="0.35">
      <c r="A518" s="3" t="s">
        <v>526</v>
      </c>
      <c r="B518" s="6">
        <v>43057</v>
      </c>
      <c r="C518" s="10" t="s">
        <v>587</v>
      </c>
      <c r="D518" s="3" t="s">
        <v>9</v>
      </c>
      <c r="E518" s="4">
        <v>2.08</v>
      </c>
      <c r="F518" s="3">
        <v>43</v>
      </c>
      <c r="G518" s="3">
        <f t="shared" si="24"/>
        <v>89.44</v>
      </c>
      <c r="H518" s="3">
        <f t="shared" si="25"/>
        <v>4.4720000000000004</v>
      </c>
      <c r="I518" s="7">
        <v>2.56</v>
      </c>
      <c r="J518" s="5">
        <f t="shared" si="26"/>
        <v>82.408000000000001</v>
      </c>
    </row>
    <row r="519" spans="1:10" x14ac:dyDescent="0.35">
      <c r="A519" s="3" t="s">
        <v>527</v>
      </c>
      <c r="B519" s="6">
        <v>43056</v>
      </c>
      <c r="C519" s="10" t="s">
        <v>587</v>
      </c>
      <c r="D519" s="3" t="s">
        <v>9</v>
      </c>
      <c r="E519" s="4">
        <v>58.1</v>
      </c>
      <c r="F519" s="3">
        <v>7</v>
      </c>
      <c r="G519" s="3">
        <f t="shared" si="24"/>
        <v>406.7</v>
      </c>
      <c r="H519" s="3">
        <f t="shared" si="25"/>
        <v>20.335000000000001</v>
      </c>
      <c r="I519" s="7">
        <v>1.49</v>
      </c>
      <c r="J519" s="5">
        <f t="shared" si="26"/>
        <v>384.875</v>
      </c>
    </row>
    <row r="520" spans="1:10" x14ac:dyDescent="0.35">
      <c r="A520" s="3" t="s">
        <v>528</v>
      </c>
      <c r="B520" s="6">
        <v>43055</v>
      </c>
      <c r="C520" s="10" t="s">
        <v>587</v>
      </c>
      <c r="D520" s="3" t="s">
        <v>27</v>
      </c>
      <c r="E520" s="4">
        <v>22.38</v>
      </c>
      <c r="F520" s="3">
        <v>16</v>
      </c>
      <c r="G520" s="3">
        <f t="shared" si="24"/>
        <v>358.08</v>
      </c>
      <c r="H520" s="3">
        <f t="shared" si="25"/>
        <v>17.904</v>
      </c>
      <c r="I520" s="7">
        <v>15.1</v>
      </c>
      <c r="J520" s="5">
        <f t="shared" si="26"/>
        <v>325.07599999999996</v>
      </c>
    </row>
    <row r="521" spans="1:10" x14ac:dyDescent="0.35">
      <c r="A521" s="3" t="s">
        <v>529</v>
      </c>
      <c r="B521" s="6">
        <v>43054</v>
      </c>
      <c r="C521" s="10" t="s">
        <v>587</v>
      </c>
      <c r="D521" s="3" t="s">
        <v>9</v>
      </c>
      <c r="E521" s="4">
        <v>5.74</v>
      </c>
      <c r="F521" s="3">
        <v>3</v>
      </c>
      <c r="G521" s="3">
        <f t="shared" si="24"/>
        <v>17.22</v>
      </c>
      <c r="H521" s="3">
        <f t="shared" si="25"/>
        <v>0.86099999999999999</v>
      </c>
      <c r="I521" s="7">
        <v>5.01</v>
      </c>
      <c r="J521" s="5">
        <f t="shared" si="26"/>
        <v>11.348999999999998</v>
      </c>
    </row>
    <row r="522" spans="1:10" x14ac:dyDescent="0.35">
      <c r="A522" s="3" t="s">
        <v>530</v>
      </c>
      <c r="B522" s="6">
        <v>43053</v>
      </c>
      <c r="C522" s="10" t="s">
        <v>587</v>
      </c>
      <c r="D522" s="3" t="s">
        <v>27</v>
      </c>
      <c r="E522" s="4">
        <v>5.68</v>
      </c>
      <c r="F522" s="3">
        <v>46</v>
      </c>
      <c r="G522" s="3">
        <f t="shared" si="24"/>
        <v>261.27999999999997</v>
      </c>
      <c r="H522" s="3">
        <f t="shared" si="25"/>
        <v>13.064</v>
      </c>
      <c r="I522" s="7">
        <v>3.6</v>
      </c>
      <c r="J522" s="5">
        <f t="shared" si="26"/>
        <v>244.61599999999999</v>
      </c>
    </row>
    <row r="523" spans="1:10" x14ac:dyDescent="0.35">
      <c r="A523" s="3" t="s">
        <v>531</v>
      </c>
      <c r="B523" s="6">
        <v>43052</v>
      </c>
      <c r="C523" s="10" t="s">
        <v>587</v>
      </c>
      <c r="D523" s="3" t="s">
        <v>9</v>
      </c>
      <c r="E523" s="4">
        <v>10.89</v>
      </c>
      <c r="F523" s="3">
        <v>37</v>
      </c>
      <c r="G523" s="3">
        <f t="shared" si="24"/>
        <v>402.93</v>
      </c>
      <c r="H523" s="3">
        <f t="shared" si="25"/>
        <v>20.146500000000003</v>
      </c>
      <c r="I523" s="7">
        <v>4.5</v>
      </c>
      <c r="J523" s="5">
        <f t="shared" si="26"/>
        <v>378.2835</v>
      </c>
    </row>
    <row r="524" spans="1:10" x14ac:dyDescent="0.35">
      <c r="A524" s="3" t="s">
        <v>532</v>
      </c>
      <c r="B524" s="6">
        <v>43051</v>
      </c>
      <c r="C524" s="10" t="s">
        <v>587</v>
      </c>
      <c r="D524" s="3" t="s">
        <v>9</v>
      </c>
      <c r="E524" s="4">
        <v>7.64</v>
      </c>
      <c r="F524" s="3">
        <v>44</v>
      </c>
      <c r="G524" s="3">
        <f t="shared" si="24"/>
        <v>336.15999999999997</v>
      </c>
      <c r="H524" s="3">
        <f t="shared" si="25"/>
        <v>16.808</v>
      </c>
      <c r="I524" s="7">
        <v>1.39</v>
      </c>
      <c r="J524" s="5">
        <f t="shared" si="26"/>
        <v>317.96199999999999</v>
      </c>
    </row>
    <row r="525" spans="1:10" x14ac:dyDescent="0.35">
      <c r="A525" s="3" t="s">
        <v>533</v>
      </c>
      <c r="B525" s="6">
        <v>43050</v>
      </c>
      <c r="C525" s="10" t="s">
        <v>587</v>
      </c>
      <c r="D525" s="3" t="s">
        <v>9</v>
      </c>
      <c r="E525" s="4">
        <v>80.98</v>
      </c>
      <c r="F525" s="3">
        <v>34</v>
      </c>
      <c r="G525" s="3">
        <f t="shared" si="24"/>
        <v>2753.32</v>
      </c>
      <c r="H525" s="3">
        <f t="shared" si="25"/>
        <v>137.66600000000003</v>
      </c>
      <c r="I525" s="7">
        <v>7.18</v>
      </c>
      <c r="J525" s="5">
        <f t="shared" si="26"/>
        <v>2608.4740000000002</v>
      </c>
    </row>
    <row r="526" spans="1:10" x14ac:dyDescent="0.35">
      <c r="A526" s="3" t="s">
        <v>534</v>
      </c>
      <c r="B526" s="6">
        <v>43049</v>
      </c>
      <c r="C526" s="10" t="s">
        <v>587</v>
      </c>
      <c r="D526" s="3" t="s">
        <v>9</v>
      </c>
      <c r="E526" s="4">
        <v>3.38</v>
      </c>
      <c r="F526" s="3">
        <v>27</v>
      </c>
      <c r="G526" s="3">
        <f t="shared" si="24"/>
        <v>91.259999999999991</v>
      </c>
      <c r="H526" s="3">
        <f t="shared" si="25"/>
        <v>4.5629999999999997</v>
      </c>
      <c r="I526" s="7">
        <v>0.85</v>
      </c>
      <c r="J526" s="5">
        <f t="shared" si="26"/>
        <v>85.846999999999994</v>
      </c>
    </row>
    <row r="527" spans="1:10" x14ac:dyDescent="0.35">
      <c r="A527" s="3" t="s">
        <v>535</v>
      </c>
      <c r="B527" s="6">
        <v>43047</v>
      </c>
      <c r="C527" s="10" t="s">
        <v>587</v>
      </c>
      <c r="D527" s="3" t="s">
        <v>27</v>
      </c>
      <c r="E527" s="4">
        <v>5.18</v>
      </c>
      <c r="F527" s="3">
        <v>37</v>
      </c>
      <c r="G527" s="3">
        <f t="shared" si="24"/>
        <v>191.66</v>
      </c>
      <c r="H527" s="3">
        <f t="shared" si="25"/>
        <v>9.5830000000000002</v>
      </c>
      <c r="I527" s="7">
        <v>2.04</v>
      </c>
      <c r="J527" s="5">
        <f t="shared" si="26"/>
        <v>180.03700000000001</v>
      </c>
    </row>
    <row r="528" spans="1:10" x14ac:dyDescent="0.35">
      <c r="A528" s="3" t="s">
        <v>536</v>
      </c>
      <c r="B528" s="6">
        <v>43046</v>
      </c>
      <c r="C528" s="10" t="s">
        <v>587</v>
      </c>
      <c r="D528" s="3" t="s">
        <v>9</v>
      </c>
      <c r="E528" s="4">
        <v>6.3</v>
      </c>
      <c r="F528" s="3">
        <v>39</v>
      </c>
      <c r="G528" s="3">
        <f t="shared" si="24"/>
        <v>245.7</v>
      </c>
      <c r="H528" s="3">
        <f t="shared" si="25"/>
        <v>12.285</v>
      </c>
      <c r="I528" s="7">
        <v>0.5</v>
      </c>
      <c r="J528" s="5">
        <f t="shared" si="26"/>
        <v>232.91499999999999</v>
      </c>
    </row>
    <row r="529" spans="1:10" x14ac:dyDescent="0.35">
      <c r="A529" s="3" t="s">
        <v>537</v>
      </c>
      <c r="B529" s="6">
        <v>43036</v>
      </c>
      <c r="C529" s="10" t="s">
        <v>587</v>
      </c>
      <c r="D529" s="3" t="s">
        <v>9</v>
      </c>
      <c r="E529" s="4">
        <v>12.98</v>
      </c>
      <c r="F529" s="3">
        <v>45</v>
      </c>
      <c r="G529" s="3">
        <f t="shared" si="24"/>
        <v>584.1</v>
      </c>
      <c r="H529" s="3">
        <f t="shared" si="25"/>
        <v>29.205000000000002</v>
      </c>
      <c r="I529" s="7">
        <v>3.14</v>
      </c>
      <c r="J529" s="5">
        <f t="shared" si="26"/>
        <v>551.755</v>
      </c>
    </row>
    <row r="530" spans="1:10" x14ac:dyDescent="0.35">
      <c r="A530" s="3" t="s">
        <v>538</v>
      </c>
      <c r="B530" s="6">
        <v>43035</v>
      </c>
      <c r="C530" s="10" t="s">
        <v>587</v>
      </c>
      <c r="D530" s="3" t="s">
        <v>9</v>
      </c>
      <c r="E530" s="4">
        <v>165.2</v>
      </c>
      <c r="F530" s="3">
        <v>23</v>
      </c>
      <c r="G530" s="3">
        <f t="shared" si="24"/>
        <v>3799.6</v>
      </c>
      <c r="H530" s="3">
        <f t="shared" si="25"/>
        <v>189.98000000000002</v>
      </c>
      <c r="I530" s="7">
        <v>19.989999999999998</v>
      </c>
      <c r="J530" s="5">
        <f t="shared" si="26"/>
        <v>3589.63</v>
      </c>
    </row>
    <row r="531" spans="1:10" x14ac:dyDescent="0.35">
      <c r="A531" s="3" t="s">
        <v>539</v>
      </c>
      <c r="B531" s="6">
        <v>43034</v>
      </c>
      <c r="C531" s="10" t="s">
        <v>587</v>
      </c>
      <c r="D531" s="3" t="s">
        <v>27</v>
      </c>
      <c r="E531" s="4">
        <v>136.97999999999999</v>
      </c>
      <c r="F531" s="3">
        <v>41</v>
      </c>
      <c r="G531" s="3">
        <f t="shared" si="24"/>
        <v>5616.1799999999994</v>
      </c>
      <c r="H531" s="3">
        <f t="shared" si="25"/>
        <v>280.80899999999997</v>
      </c>
      <c r="I531" s="7">
        <v>24.49</v>
      </c>
      <c r="J531" s="5">
        <f t="shared" si="26"/>
        <v>5310.8809999999994</v>
      </c>
    </row>
    <row r="532" spans="1:10" x14ac:dyDescent="0.35">
      <c r="A532" s="3" t="s">
        <v>540</v>
      </c>
      <c r="B532" s="6">
        <v>43033</v>
      </c>
      <c r="C532" s="10" t="s">
        <v>587</v>
      </c>
      <c r="D532" s="3" t="s">
        <v>9</v>
      </c>
      <c r="E532" s="4">
        <v>6.68</v>
      </c>
      <c r="F532" s="3">
        <v>5</v>
      </c>
      <c r="G532" s="3">
        <f t="shared" si="24"/>
        <v>33.4</v>
      </c>
      <c r="H532" s="3">
        <f t="shared" si="25"/>
        <v>1.67</v>
      </c>
      <c r="I532" s="7">
        <v>1.5</v>
      </c>
      <c r="J532" s="5">
        <f t="shared" si="26"/>
        <v>30.229999999999997</v>
      </c>
    </row>
    <row r="533" spans="1:10" x14ac:dyDescent="0.35">
      <c r="A533" s="3" t="s">
        <v>541</v>
      </c>
      <c r="B533" s="6">
        <v>43028</v>
      </c>
      <c r="C533" s="10" t="s">
        <v>11</v>
      </c>
      <c r="D533" s="3" t="s">
        <v>9</v>
      </c>
      <c r="E533" s="4">
        <v>1.48</v>
      </c>
      <c r="F533" s="3">
        <v>19</v>
      </c>
      <c r="G533" s="3">
        <f t="shared" si="24"/>
        <v>28.12</v>
      </c>
      <c r="H533" s="3">
        <f t="shared" si="25"/>
        <v>1.4060000000000001</v>
      </c>
      <c r="I533" s="7">
        <v>0.7</v>
      </c>
      <c r="J533" s="5">
        <f t="shared" si="26"/>
        <v>26.014000000000003</v>
      </c>
    </row>
    <row r="534" spans="1:10" x14ac:dyDescent="0.35">
      <c r="A534" s="3" t="s">
        <v>542</v>
      </c>
      <c r="B534" s="6">
        <v>43027</v>
      </c>
      <c r="C534" s="10" t="s">
        <v>11</v>
      </c>
      <c r="D534" s="3" t="s">
        <v>9</v>
      </c>
      <c r="E534" s="4">
        <v>5.74</v>
      </c>
      <c r="F534" s="3">
        <v>50</v>
      </c>
      <c r="G534" s="3">
        <f t="shared" si="24"/>
        <v>287</v>
      </c>
      <c r="H534" s="3">
        <f t="shared" si="25"/>
        <v>14.350000000000001</v>
      </c>
      <c r="I534" s="7">
        <v>5.01</v>
      </c>
      <c r="J534" s="5">
        <f t="shared" si="26"/>
        <v>267.64</v>
      </c>
    </row>
    <row r="535" spans="1:10" x14ac:dyDescent="0.35">
      <c r="A535" s="3" t="s">
        <v>543</v>
      </c>
      <c r="B535" s="6">
        <v>43025</v>
      </c>
      <c r="C535" s="10" t="s">
        <v>11</v>
      </c>
      <c r="D535" s="3" t="s">
        <v>9</v>
      </c>
      <c r="E535" s="4">
        <v>449.99</v>
      </c>
      <c r="F535" s="3">
        <v>40</v>
      </c>
      <c r="G535" s="3">
        <f t="shared" si="24"/>
        <v>17999.599999999999</v>
      </c>
      <c r="H535" s="3">
        <f t="shared" si="25"/>
        <v>899.98</v>
      </c>
      <c r="I535" s="7">
        <v>24.49</v>
      </c>
      <c r="J535" s="5">
        <f t="shared" si="26"/>
        <v>17075.129999999997</v>
      </c>
    </row>
    <row r="536" spans="1:10" x14ac:dyDescent="0.35">
      <c r="A536" s="3" t="s">
        <v>544</v>
      </c>
      <c r="B536" s="6">
        <v>43022</v>
      </c>
      <c r="C536" s="10" t="s">
        <v>11</v>
      </c>
      <c r="D536" s="3" t="s">
        <v>9</v>
      </c>
      <c r="E536" s="4">
        <v>3.57</v>
      </c>
      <c r="F536" s="3">
        <v>23</v>
      </c>
      <c r="G536" s="3">
        <f t="shared" si="24"/>
        <v>82.11</v>
      </c>
      <c r="H536" s="3">
        <f t="shared" si="25"/>
        <v>4.1055000000000001</v>
      </c>
      <c r="I536" s="7">
        <v>4.17</v>
      </c>
      <c r="J536" s="5">
        <f t="shared" si="26"/>
        <v>73.834499999999991</v>
      </c>
    </row>
    <row r="537" spans="1:10" x14ac:dyDescent="0.35">
      <c r="A537" s="3" t="s">
        <v>545</v>
      </c>
      <c r="B537" s="6">
        <v>43021</v>
      </c>
      <c r="C537" s="10" t="s">
        <v>11</v>
      </c>
      <c r="D537" s="3" t="s">
        <v>9</v>
      </c>
      <c r="E537" s="4">
        <v>3.58</v>
      </c>
      <c r="F537" s="3">
        <v>46</v>
      </c>
      <c r="G537" s="3">
        <f t="shared" si="24"/>
        <v>164.68</v>
      </c>
      <c r="H537" s="3">
        <f t="shared" si="25"/>
        <v>8.234</v>
      </c>
      <c r="I537" s="7">
        <v>5.47</v>
      </c>
      <c r="J537" s="5">
        <f t="shared" si="26"/>
        <v>150.976</v>
      </c>
    </row>
    <row r="538" spans="1:10" x14ac:dyDescent="0.35">
      <c r="A538" s="3" t="s">
        <v>546</v>
      </c>
      <c r="B538" s="6">
        <v>43016</v>
      </c>
      <c r="C538" s="10" t="s">
        <v>11</v>
      </c>
      <c r="D538" s="3" t="s">
        <v>9</v>
      </c>
      <c r="E538" s="4">
        <v>3.08</v>
      </c>
      <c r="F538" s="3">
        <v>38</v>
      </c>
      <c r="G538" s="3">
        <f t="shared" si="24"/>
        <v>117.04</v>
      </c>
      <c r="H538" s="3">
        <f t="shared" si="25"/>
        <v>5.8520000000000003</v>
      </c>
      <c r="I538" s="7">
        <v>0.99</v>
      </c>
      <c r="J538" s="5">
        <f t="shared" si="26"/>
        <v>110.19800000000001</v>
      </c>
    </row>
    <row r="539" spans="1:10" x14ac:dyDescent="0.35">
      <c r="A539" s="3" t="s">
        <v>547</v>
      </c>
      <c r="B539" s="6">
        <v>43014</v>
      </c>
      <c r="C539" s="10" t="s">
        <v>11</v>
      </c>
      <c r="D539" s="3" t="s">
        <v>9</v>
      </c>
      <c r="E539" s="4">
        <v>152.47999999999999</v>
      </c>
      <c r="F539" s="3">
        <v>31</v>
      </c>
      <c r="G539" s="3">
        <f t="shared" si="24"/>
        <v>4726.88</v>
      </c>
      <c r="H539" s="3">
        <f t="shared" si="25"/>
        <v>236.34400000000002</v>
      </c>
      <c r="I539" s="7">
        <v>6.5</v>
      </c>
      <c r="J539" s="5">
        <f t="shared" si="26"/>
        <v>4484.0360000000001</v>
      </c>
    </row>
    <row r="540" spans="1:10" x14ac:dyDescent="0.35">
      <c r="A540" s="3" t="s">
        <v>548</v>
      </c>
      <c r="B540" s="6">
        <v>43012</v>
      </c>
      <c r="C540" s="10" t="s">
        <v>11</v>
      </c>
      <c r="D540" s="3" t="s">
        <v>9</v>
      </c>
      <c r="E540" s="4">
        <v>30.98</v>
      </c>
      <c r="F540" s="3">
        <v>8</v>
      </c>
      <c r="G540" s="3">
        <f t="shared" si="24"/>
        <v>247.84</v>
      </c>
      <c r="H540" s="3">
        <f t="shared" si="25"/>
        <v>12.392000000000001</v>
      </c>
      <c r="I540" s="7">
        <v>6.5</v>
      </c>
      <c r="J540" s="5">
        <f t="shared" si="26"/>
        <v>228.94800000000001</v>
      </c>
    </row>
    <row r="541" spans="1:10" x14ac:dyDescent="0.35">
      <c r="A541" s="3" t="s">
        <v>549</v>
      </c>
      <c r="B541" s="6">
        <v>43010</v>
      </c>
      <c r="C541" s="10" t="s">
        <v>11</v>
      </c>
      <c r="D541" s="3" t="s">
        <v>9</v>
      </c>
      <c r="E541" s="4">
        <v>5.84</v>
      </c>
      <c r="F541" s="3">
        <v>11</v>
      </c>
      <c r="G541" s="3">
        <f t="shared" si="24"/>
        <v>64.239999999999995</v>
      </c>
      <c r="H541" s="3">
        <f t="shared" si="25"/>
        <v>3.2119999999999997</v>
      </c>
      <c r="I541" s="7">
        <v>0.83</v>
      </c>
      <c r="J541" s="5">
        <f t="shared" si="26"/>
        <v>60.197999999999993</v>
      </c>
    </row>
    <row r="542" spans="1:10" x14ac:dyDescent="0.35">
      <c r="A542" s="3" t="s">
        <v>550</v>
      </c>
      <c r="B542" s="6">
        <v>43006</v>
      </c>
      <c r="C542" s="10" t="s">
        <v>11</v>
      </c>
      <c r="D542" s="3" t="s">
        <v>27</v>
      </c>
      <c r="E542" s="4">
        <v>8.6</v>
      </c>
      <c r="F542" s="3">
        <v>23</v>
      </c>
      <c r="G542" s="3">
        <f t="shared" si="24"/>
        <v>197.79999999999998</v>
      </c>
      <c r="H542" s="3">
        <f t="shared" si="25"/>
        <v>9.89</v>
      </c>
      <c r="I542" s="7">
        <v>6.19</v>
      </c>
      <c r="J542" s="5">
        <f t="shared" si="26"/>
        <v>181.71999999999997</v>
      </c>
    </row>
    <row r="543" spans="1:10" x14ac:dyDescent="0.35">
      <c r="A543" s="3" t="s">
        <v>551</v>
      </c>
      <c r="B543" s="6">
        <v>43005</v>
      </c>
      <c r="C543" s="10" t="s">
        <v>11</v>
      </c>
      <c r="D543" s="3" t="s">
        <v>27</v>
      </c>
      <c r="E543" s="4">
        <v>8.34</v>
      </c>
      <c r="F543" s="3">
        <v>15</v>
      </c>
      <c r="G543" s="3">
        <f t="shared" si="24"/>
        <v>125.1</v>
      </c>
      <c r="H543" s="3">
        <f t="shared" si="25"/>
        <v>6.2549999999999999</v>
      </c>
      <c r="I543" s="7">
        <v>2.64</v>
      </c>
      <c r="J543" s="5">
        <f t="shared" si="26"/>
        <v>116.205</v>
      </c>
    </row>
    <row r="544" spans="1:10" x14ac:dyDescent="0.35">
      <c r="A544" s="3" t="s">
        <v>552</v>
      </c>
      <c r="B544" s="6">
        <v>43002</v>
      </c>
      <c r="C544" s="10" t="s">
        <v>11</v>
      </c>
      <c r="D544" s="3" t="s">
        <v>9</v>
      </c>
      <c r="E544" s="4">
        <v>4.76</v>
      </c>
      <c r="F544" s="3">
        <v>13</v>
      </c>
      <c r="G544" s="3">
        <f t="shared" si="24"/>
        <v>61.879999999999995</v>
      </c>
      <c r="H544" s="3">
        <f t="shared" si="25"/>
        <v>3.0939999999999999</v>
      </c>
      <c r="I544" s="7">
        <v>0.88</v>
      </c>
      <c r="J544" s="5">
        <f t="shared" si="26"/>
        <v>57.905999999999992</v>
      </c>
    </row>
    <row r="545" spans="1:10" x14ac:dyDescent="0.35">
      <c r="A545" s="3" t="s">
        <v>553</v>
      </c>
      <c r="B545" s="6">
        <v>42996</v>
      </c>
      <c r="C545" s="10" t="s">
        <v>11</v>
      </c>
      <c r="D545" s="3" t="s">
        <v>9</v>
      </c>
      <c r="E545" s="4">
        <v>20.99</v>
      </c>
      <c r="F545" s="3">
        <v>41</v>
      </c>
      <c r="G545" s="3">
        <f t="shared" si="24"/>
        <v>860.58999999999992</v>
      </c>
      <c r="H545" s="3">
        <f t="shared" si="25"/>
        <v>43.029499999999999</v>
      </c>
      <c r="I545" s="7">
        <v>4.8099999999999996</v>
      </c>
      <c r="J545" s="5">
        <f t="shared" si="26"/>
        <v>812.75049999999999</v>
      </c>
    </row>
    <row r="546" spans="1:10" x14ac:dyDescent="0.35">
      <c r="A546" s="3" t="s">
        <v>554</v>
      </c>
      <c r="B546" s="6">
        <v>42995</v>
      </c>
      <c r="C546" s="10" t="s">
        <v>589</v>
      </c>
      <c r="D546" s="3" t="s">
        <v>27</v>
      </c>
      <c r="E546" s="4">
        <v>5.4</v>
      </c>
      <c r="F546" s="3">
        <v>26</v>
      </c>
      <c r="G546" s="3">
        <f t="shared" si="24"/>
        <v>140.4</v>
      </c>
      <c r="H546" s="3">
        <f t="shared" si="25"/>
        <v>7.0200000000000005</v>
      </c>
      <c r="I546" s="7">
        <v>7.78</v>
      </c>
      <c r="J546" s="5">
        <f t="shared" si="26"/>
        <v>125.6</v>
      </c>
    </row>
    <row r="547" spans="1:10" x14ac:dyDescent="0.35">
      <c r="A547" s="3" t="s">
        <v>555</v>
      </c>
      <c r="B547" s="6">
        <v>42994</v>
      </c>
      <c r="C547" s="10" t="s">
        <v>11</v>
      </c>
      <c r="D547" s="3" t="s">
        <v>9</v>
      </c>
      <c r="E547" s="4">
        <v>2.62</v>
      </c>
      <c r="F547" s="3">
        <v>21</v>
      </c>
      <c r="G547" s="3">
        <f t="shared" si="24"/>
        <v>55.02</v>
      </c>
      <c r="H547" s="3">
        <f t="shared" si="25"/>
        <v>2.7510000000000003</v>
      </c>
      <c r="I547" s="7">
        <v>0.8</v>
      </c>
      <c r="J547" s="5">
        <f t="shared" si="26"/>
        <v>51.469000000000008</v>
      </c>
    </row>
    <row r="548" spans="1:10" x14ac:dyDescent="0.35">
      <c r="A548" s="3" t="s">
        <v>556</v>
      </c>
      <c r="B548" s="6">
        <v>42993</v>
      </c>
      <c r="C548" s="10" t="s">
        <v>11</v>
      </c>
      <c r="D548" s="3" t="s">
        <v>9</v>
      </c>
      <c r="E548" s="4">
        <v>3.15</v>
      </c>
      <c r="F548" s="3">
        <v>23</v>
      </c>
      <c r="G548" s="3">
        <f t="shared" si="24"/>
        <v>72.45</v>
      </c>
      <c r="H548" s="3">
        <f t="shared" si="25"/>
        <v>3.6225000000000005</v>
      </c>
      <c r="I548" s="7">
        <v>0.49</v>
      </c>
      <c r="J548" s="5">
        <f t="shared" si="26"/>
        <v>68.337500000000006</v>
      </c>
    </row>
    <row r="549" spans="1:10" x14ac:dyDescent="0.35">
      <c r="A549" s="3" t="s">
        <v>557</v>
      </c>
      <c r="B549" s="6">
        <v>42989</v>
      </c>
      <c r="C549" s="10" t="s">
        <v>589</v>
      </c>
      <c r="D549" s="3" t="s">
        <v>27</v>
      </c>
      <c r="E549" s="4">
        <v>5.18</v>
      </c>
      <c r="F549" s="3">
        <v>1</v>
      </c>
      <c r="G549" s="3">
        <f t="shared" si="24"/>
        <v>5.18</v>
      </c>
      <c r="H549" s="3">
        <f t="shared" si="25"/>
        <v>0.25900000000000001</v>
      </c>
      <c r="I549" s="7">
        <v>2.04</v>
      </c>
      <c r="J549" s="5">
        <f t="shared" si="26"/>
        <v>2.8809999999999993</v>
      </c>
    </row>
    <row r="550" spans="1:10" x14ac:dyDescent="0.35">
      <c r="A550" s="3" t="s">
        <v>558</v>
      </c>
      <c r="B550" s="6">
        <v>42987</v>
      </c>
      <c r="C550" s="10" t="s">
        <v>11</v>
      </c>
      <c r="D550" s="3" t="s">
        <v>9</v>
      </c>
      <c r="E550" s="4">
        <v>2.08</v>
      </c>
      <c r="F550" s="3">
        <v>44</v>
      </c>
      <c r="G550" s="3">
        <f t="shared" si="24"/>
        <v>91.52000000000001</v>
      </c>
      <c r="H550" s="3">
        <f t="shared" si="25"/>
        <v>4.5760000000000005</v>
      </c>
      <c r="I550" s="7">
        <v>1.49</v>
      </c>
      <c r="J550" s="5">
        <f t="shared" si="26"/>
        <v>85.454000000000022</v>
      </c>
    </row>
    <row r="551" spans="1:10" x14ac:dyDescent="0.35">
      <c r="A551" s="3" t="s">
        <v>559</v>
      </c>
      <c r="B551" s="6">
        <v>42983</v>
      </c>
      <c r="C551" s="10" t="s">
        <v>589</v>
      </c>
      <c r="D551" s="3" t="s">
        <v>9</v>
      </c>
      <c r="E551" s="4">
        <v>5.4</v>
      </c>
      <c r="F551" s="3">
        <v>25</v>
      </c>
      <c r="G551" s="3">
        <f t="shared" si="24"/>
        <v>135</v>
      </c>
      <c r="H551" s="3">
        <f t="shared" si="25"/>
        <v>6.75</v>
      </c>
      <c r="I551" s="7">
        <v>7.78</v>
      </c>
      <c r="J551" s="5">
        <f t="shared" si="26"/>
        <v>120.47</v>
      </c>
    </row>
    <row r="552" spans="1:10" x14ac:dyDescent="0.35">
      <c r="A552" s="3" t="s">
        <v>560</v>
      </c>
      <c r="B552" s="6">
        <v>42981</v>
      </c>
      <c r="C552" s="10" t="s">
        <v>11</v>
      </c>
      <c r="D552" s="3" t="s">
        <v>27</v>
      </c>
      <c r="E552" s="4">
        <v>2.62</v>
      </c>
      <c r="F552" s="3">
        <v>34</v>
      </c>
      <c r="G552" s="3">
        <f t="shared" si="24"/>
        <v>89.08</v>
      </c>
      <c r="H552" s="3">
        <f t="shared" si="25"/>
        <v>4.4539999999999997</v>
      </c>
      <c r="I552" s="7">
        <v>0.8</v>
      </c>
      <c r="J552" s="5">
        <f t="shared" si="26"/>
        <v>83.826000000000008</v>
      </c>
    </row>
    <row r="553" spans="1:10" x14ac:dyDescent="0.35">
      <c r="A553" s="3" t="s">
        <v>561</v>
      </c>
      <c r="B553" s="6">
        <v>42977</v>
      </c>
      <c r="C553" s="10" t="s">
        <v>11</v>
      </c>
      <c r="D553" s="3" t="s">
        <v>27</v>
      </c>
      <c r="E553" s="4">
        <v>4.76</v>
      </c>
      <c r="F553" s="3">
        <v>27</v>
      </c>
      <c r="G553" s="3">
        <f t="shared" si="24"/>
        <v>128.51999999999998</v>
      </c>
      <c r="H553" s="3">
        <f t="shared" si="25"/>
        <v>6.4259999999999993</v>
      </c>
      <c r="I553" s="7">
        <v>0.88</v>
      </c>
      <c r="J553" s="5">
        <f t="shared" si="26"/>
        <v>121.21399999999998</v>
      </c>
    </row>
    <row r="554" spans="1:10" x14ac:dyDescent="0.35">
      <c r="A554" s="3" t="s">
        <v>562</v>
      </c>
      <c r="B554" s="6">
        <v>42976</v>
      </c>
      <c r="C554" s="10" t="s">
        <v>589</v>
      </c>
      <c r="D554" s="3" t="s">
        <v>9</v>
      </c>
      <c r="E554" s="4">
        <v>30.98</v>
      </c>
      <c r="F554" s="3">
        <v>49</v>
      </c>
      <c r="G554" s="3">
        <f t="shared" si="24"/>
        <v>1518.02</v>
      </c>
      <c r="H554" s="3">
        <f t="shared" si="25"/>
        <v>75.900999999999996</v>
      </c>
      <c r="I554" s="7">
        <v>19.510000000000002</v>
      </c>
      <c r="J554" s="5">
        <f t="shared" si="26"/>
        <v>1422.6089999999999</v>
      </c>
    </row>
    <row r="555" spans="1:10" x14ac:dyDescent="0.35">
      <c r="A555" s="3" t="s">
        <v>563</v>
      </c>
      <c r="B555" s="6">
        <v>42969</v>
      </c>
      <c r="C555" s="10" t="s">
        <v>589</v>
      </c>
      <c r="D555" s="3" t="s">
        <v>9</v>
      </c>
      <c r="E555" s="4">
        <v>3.38</v>
      </c>
      <c r="F555" s="3">
        <v>34</v>
      </c>
      <c r="G555" s="3">
        <f t="shared" si="24"/>
        <v>114.92</v>
      </c>
      <c r="H555" s="3">
        <f t="shared" si="25"/>
        <v>5.7460000000000004</v>
      </c>
      <c r="I555" s="7">
        <v>0.85</v>
      </c>
      <c r="J555" s="5">
        <f t="shared" si="26"/>
        <v>108.32400000000001</v>
      </c>
    </row>
    <row r="556" spans="1:10" x14ac:dyDescent="0.35">
      <c r="A556" s="3" t="s">
        <v>564</v>
      </c>
      <c r="B556" s="6">
        <v>42968</v>
      </c>
      <c r="C556" s="10" t="s">
        <v>8</v>
      </c>
      <c r="D556" s="3" t="s">
        <v>9</v>
      </c>
      <c r="E556" s="4">
        <v>35.409999999999997</v>
      </c>
      <c r="F556" s="3">
        <v>38</v>
      </c>
      <c r="G556" s="3">
        <f t="shared" si="24"/>
        <v>1345.58</v>
      </c>
      <c r="H556" s="3">
        <f t="shared" si="25"/>
        <v>67.278999999999996</v>
      </c>
      <c r="I556" s="7">
        <v>1.99</v>
      </c>
      <c r="J556" s="5">
        <f t="shared" si="26"/>
        <v>1276.3109999999999</v>
      </c>
    </row>
    <row r="557" spans="1:10" x14ac:dyDescent="0.35">
      <c r="A557" s="3" t="s">
        <v>565</v>
      </c>
      <c r="B557" s="6">
        <v>42967</v>
      </c>
      <c r="C557" s="10" t="s">
        <v>8</v>
      </c>
      <c r="D557" s="3" t="s">
        <v>9</v>
      </c>
      <c r="E557" s="4">
        <v>29.74</v>
      </c>
      <c r="F557" s="3">
        <v>14</v>
      </c>
      <c r="G557" s="3">
        <f t="shared" si="24"/>
        <v>416.35999999999996</v>
      </c>
      <c r="H557" s="3">
        <f t="shared" si="25"/>
        <v>20.817999999999998</v>
      </c>
      <c r="I557" s="7">
        <v>6.64</v>
      </c>
      <c r="J557" s="5">
        <f t="shared" si="26"/>
        <v>388.90199999999999</v>
      </c>
    </row>
    <row r="558" spans="1:10" x14ac:dyDescent="0.35">
      <c r="A558" s="3" t="s">
        <v>566</v>
      </c>
      <c r="B558" s="6">
        <v>42965</v>
      </c>
      <c r="C558" s="10" t="s">
        <v>11</v>
      </c>
      <c r="D558" s="3" t="s">
        <v>9</v>
      </c>
      <c r="E558" s="4">
        <v>5.43</v>
      </c>
      <c r="F558" s="3">
        <v>29</v>
      </c>
      <c r="G558" s="3">
        <f t="shared" si="24"/>
        <v>157.47</v>
      </c>
      <c r="H558" s="3">
        <f t="shared" si="25"/>
        <v>7.8734999999999999</v>
      </c>
      <c r="I558" s="7">
        <v>0.95</v>
      </c>
      <c r="J558" s="5">
        <f t="shared" si="26"/>
        <v>148.6465</v>
      </c>
    </row>
    <row r="559" spans="1:10" x14ac:dyDescent="0.35">
      <c r="A559" s="3" t="s">
        <v>567</v>
      </c>
      <c r="B559" s="6">
        <v>42964</v>
      </c>
      <c r="C559" s="10" t="s">
        <v>8</v>
      </c>
      <c r="D559" s="3" t="s">
        <v>27</v>
      </c>
      <c r="E559" s="4">
        <v>3.69</v>
      </c>
      <c r="F559" s="3">
        <v>35</v>
      </c>
      <c r="G559" s="3">
        <f t="shared" si="24"/>
        <v>129.15</v>
      </c>
      <c r="H559" s="3">
        <f t="shared" si="25"/>
        <v>6.4575000000000005</v>
      </c>
      <c r="I559" s="7">
        <v>2.5</v>
      </c>
      <c r="J559" s="5">
        <f t="shared" si="26"/>
        <v>120.19250000000001</v>
      </c>
    </row>
    <row r="560" spans="1:10" x14ac:dyDescent="0.35">
      <c r="A560" s="3" t="s">
        <v>568</v>
      </c>
      <c r="B560" s="6">
        <v>42963</v>
      </c>
      <c r="C560" s="10" t="s">
        <v>589</v>
      </c>
      <c r="D560" s="3" t="s">
        <v>27</v>
      </c>
      <c r="E560" s="4">
        <v>19.98</v>
      </c>
      <c r="F560" s="3">
        <v>13</v>
      </c>
      <c r="G560" s="3">
        <f t="shared" si="24"/>
        <v>259.74</v>
      </c>
      <c r="H560" s="3">
        <f t="shared" si="25"/>
        <v>12.987000000000002</v>
      </c>
      <c r="I560" s="7">
        <v>5.77</v>
      </c>
      <c r="J560" s="5">
        <f t="shared" si="26"/>
        <v>240.983</v>
      </c>
    </row>
    <row r="561" spans="1:10" x14ac:dyDescent="0.35">
      <c r="A561" s="3" t="s">
        <v>569</v>
      </c>
      <c r="B561" s="6">
        <v>42962</v>
      </c>
      <c r="C561" s="10" t="s">
        <v>8</v>
      </c>
      <c r="D561" s="3" t="s">
        <v>9</v>
      </c>
      <c r="E561" s="4">
        <v>3.58</v>
      </c>
      <c r="F561" s="3">
        <v>38</v>
      </c>
      <c r="G561" s="3">
        <f t="shared" si="24"/>
        <v>136.04</v>
      </c>
      <c r="H561" s="3">
        <f t="shared" si="25"/>
        <v>6.8019999999999996</v>
      </c>
      <c r="I561" s="7">
        <v>1.63</v>
      </c>
      <c r="J561" s="5">
        <f t="shared" si="26"/>
        <v>127.608</v>
      </c>
    </row>
    <row r="562" spans="1:10" x14ac:dyDescent="0.35">
      <c r="A562" s="3" t="s">
        <v>570</v>
      </c>
      <c r="B562" s="6">
        <v>42961</v>
      </c>
      <c r="C562" s="10" t="s">
        <v>8</v>
      </c>
      <c r="D562" s="3" t="s">
        <v>9</v>
      </c>
      <c r="E562" s="4">
        <v>300.97000000000003</v>
      </c>
      <c r="F562" s="3">
        <v>14</v>
      </c>
      <c r="G562" s="3">
        <f t="shared" si="24"/>
        <v>4213.58</v>
      </c>
      <c r="H562" s="3">
        <f t="shared" si="25"/>
        <v>210.679</v>
      </c>
      <c r="I562" s="7">
        <v>7.18</v>
      </c>
      <c r="J562" s="5">
        <f t="shared" si="26"/>
        <v>3995.721</v>
      </c>
    </row>
    <row r="563" spans="1:10" x14ac:dyDescent="0.35">
      <c r="A563" s="3" t="s">
        <v>571</v>
      </c>
      <c r="B563" s="6">
        <v>42960</v>
      </c>
      <c r="C563" s="10" t="s">
        <v>8</v>
      </c>
      <c r="D563" s="3" t="s">
        <v>9</v>
      </c>
      <c r="E563" s="4">
        <v>6.3</v>
      </c>
      <c r="F563" s="3">
        <v>42</v>
      </c>
      <c r="G563" s="3">
        <f t="shared" si="24"/>
        <v>264.59999999999997</v>
      </c>
      <c r="H563" s="3">
        <f t="shared" si="25"/>
        <v>13.229999999999999</v>
      </c>
      <c r="I563" s="7">
        <v>0.5</v>
      </c>
      <c r="J563" s="5">
        <f t="shared" si="26"/>
        <v>250.86999999999998</v>
      </c>
    </row>
    <row r="564" spans="1:10" x14ac:dyDescent="0.35">
      <c r="A564" s="3" t="s">
        <v>572</v>
      </c>
      <c r="B564" s="6">
        <v>42959</v>
      </c>
      <c r="C564" s="10" t="s">
        <v>8</v>
      </c>
      <c r="D564" s="3" t="s">
        <v>27</v>
      </c>
      <c r="E564" s="4">
        <v>29.1</v>
      </c>
      <c r="F564" s="3">
        <v>33</v>
      </c>
      <c r="G564" s="3">
        <f t="shared" si="24"/>
        <v>960.30000000000007</v>
      </c>
      <c r="H564" s="3">
        <f t="shared" si="25"/>
        <v>48.015000000000008</v>
      </c>
      <c r="I564" s="7">
        <v>4</v>
      </c>
      <c r="J564" s="5">
        <f t="shared" si="26"/>
        <v>908.28500000000008</v>
      </c>
    </row>
    <row r="565" spans="1:10" x14ac:dyDescent="0.35">
      <c r="A565" s="3" t="s">
        <v>573</v>
      </c>
      <c r="B565" s="6">
        <v>42958</v>
      </c>
      <c r="C565" s="10" t="s">
        <v>8</v>
      </c>
      <c r="D565" s="3" t="s">
        <v>27</v>
      </c>
      <c r="E565" s="4">
        <v>7.28</v>
      </c>
      <c r="F565" s="3">
        <v>2</v>
      </c>
      <c r="G565" s="3">
        <f t="shared" si="24"/>
        <v>14.56</v>
      </c>
      <c r="H565" s="3">
        <f t="shared" si="25"/>
        <v>0.72800000000000009</v>
      </c>
      <c r="I565" s="7">
        <v>11.15</v>
      </c>
      <c r="J565" s="5">
        <f t="shared" si="26"/>
        <v>2.6820000000000004</v>
      </c>
    </row>
    <row r="566" spans="1:10" x14ac:dyDescent="0.35">
      <c r="A566" s="3" t="s">
        <v>574</v>
      </c>
      <c r="B566" s="6">
        <v>42957</v>
      </c>
      <c r="C566" s="10" t="s">
        <v>11</v>
      </c>
      <c r="D566" s="3" t="s">
        <v>9</v>
      </c>
      <c r="E566" s="4">
        <v>1.88</v>
      </c>
      <c r="F566" s="3">
        <v>1</v>
      </c>
      <c r="G566" s="3">
        <f t="shared" si="24"/>
        <v>1.88</v>
      </c>
      <c r="H566" s="3">
        <f t="shared" si="25"/>
        <v>9.4E-2</v>
      </c>
      <c r="I566" s="7">
        <v>1.49</v>
      </c>
      <c r="J566" s="5">
        <f t="shared" si="26"/>
        <v>0.29599999999999982</v>
      </c>
    </row>
    <row r="567" spans="1:10" x14ac:dyDescent="0.35">
      <c r="A567" s="3" t="s">
        <v>575</v>
      </c>
      <c r="B567" s="6">
        <v>42956</v>
      </c>
      <c r="C567" s="10" t="s">
        <v>11</v>
      </c>
      <c r="D567" s="3" t="s">
        <v>9</v>
      </c>
      <c r="E567" s="4">
        <v>8.34</v>
      </c>
      <c r="F567" s="3">
        <v>24</v>
      </c>
      <c r="G567" s="3">
        <f t="shared" si="24"/>
        <v>200.16</v>
      </c>
      <c r="H567" s="3">
        <f t="shared" si="25"/>
        <v>10.008000000000001</v>
      </c>
      <c r="I567" s="7">
        <v>2.64</v>
      </c>
      <c r="J567" s="5">
        <f t="shared" si="26"/>
        <v>187.512</v>
      </c>
    </row>
    <row r="568" spans="1:10" x14ac:dyDescent="0.35">
      <c r="A568" s="3" t="s">
        <v>576</v>
      </c>
      <c r="B568" s="6">
        <v>42955</v>
      </c>
      <c r="C568" s="10" t="s">
        <v>8</v>
      </c>
      <c r="D568" s="3" t="s">
        <v>9</v>
      </c>
      <c r="E568" s="4">
        <v>12.22</v>
      </c>
      <c r="F568" s="3">
        <v>35</v>
      </c>
      <c r="G568" s="3">
        <f t="shared" si="24"/>
        <v>427.70000000000005</v>
      </c>
      <c r="H568" s="3">
        <f t="shared" si="25"/>
        <v>21.385000000000005</v>
      </c>
      <c r="I568" s="7">
        <v>2.85</v>
      </c>
      <c r="J568" s="5">
        <f t="shared" si="26"/>
        <v>403.46500000000003</v>
      </c>
    </row>
    <row r="569" spans="1:10" x14ac:dyDescent="0.35">
      <c r="A569" s="3" t="s">
        <v>577</v>
      </c>
      <c r="B569" s="6">
        <v>42954</v>
      </c>
      <c r="C569" s="10" t="s">
        <v>589</v>
      </c>
      <c r="D569" s="3" t="s">
        <v>9</v>
      </c>
      <c r="E569" s="4">
        <v>20.98</v>
      </c>
      <c r="F569" s="3">
        <v>47</v>
      </c>
      <c r="G569" s="3">
        <f t="shared" si="24"/>
        <v>986.06000000000006</v>
      </c>
      <c r="H569" s="3">
        <f t="shared" si="25"/>
        <v>49.303000000000004</v>
      </c>
      <c r="I569" s="7">
        <v>1.49</v>
      </c>
      <c r="J569" s="5">
        <f t="shared" si="26"/>
        <v>935.26700000000005</v>
      </c>
    </row>
    <row r="570" spans="1:10" x14ac:dyDescent="0.35">
      <c r="A570" s="3" t="s">
        <v>578</v>
      </c>
      <c r="B570" s="6">
        <v>42953</v>
      </c>
      <c r="C570" s="10" t="s">
        <v>8</v>
      </c>
      <c r="D570" s="3" t="s">
        <v>9</v>
      </c>
      <c r="E570" s="4">
        <v>15.99</v>
      </c>
      <c r="F570" s="3">
        <v>7</v>
      </c>
      <c r="G570" s="3">
        <f t="shared" si="24"/>
        <v>111.93</v>
      </c>
      <c r="H570" s="3">
        <f t="shared" si="25"/>
        <v>5.5965000000000007</v>
      </c>
      <c r="I570" s="7">
        <v>11.28</v>
      </c>
      <c r="J570" s="5">
        <f t="shared" si="26"/>
        <v>95.0535</v>
      </c>
    </row>
    <row r="571" spans="1:10" x14ac:dyDescent="0.35">
      <c r="A571" s="3" t="s">
        <v>579</v>
      </c>
      <c r="B571" s="6">
        <v>42952</v>
      </c>
      <c r="C571" s="10" t="s">
        <v>11</v>
      </c>
      <c r="D571" s="3" t="s">
        <v>9</v>
      </c>
      <c r="E571" s="4">
        <v>7.08</v>
      </c>
      <c r="F571" s="3">
        <v>29</v>
      </c>
      <c r="G571" s="3">
        <f t="shared" si="24"/>
        <v>205.32</v>
      </c>
      <c r="H571" s="3">
        <f t="shared" si="25"/>
        <v>10.266</v>
      </c>
      <c r="I571" s="7">
        <v>2.35</v>
      </c>
      <c r="J571" s="5">
        <f t="shared" si="26"/>
        <v>192.70400000000001</v>
      </c>
    </row>
    <row r="572" spans="1:10" x14ac:dyDescent="0.35">
      <c r="A572" s="3" t="s">
        <v>580</v>
      </c>
      <c r="B572" s="6">
        <v>42951</v>
      </c>
      <c r="C572" s="10" t="s">
        <v>589</v>
      </c>
      <c r="D572" s="3" t="s">
        <v>9</v>
      </c>
      <c r="E572" s="4">
        <v>90.48</v>
      </c>
      <c r="F572" s="3">
        <v>11</v>
      </c>
      <c r="G572" s="3">
        <f t="shared" si="24"/>
        <v>995.28000000000009</v>
      </c>
      <c r="H572" s="3">
        <f t="shared" si="25"/>
        <v>49.76400000000001</v>
      </c>
      <c r="I572" s="7">
        <v>19.989999999999998</v>
      </c>
      <c r="J572" s="5">
        <f t="shared" si="26"/>
        <v>925.52600000000007</v>
      </c>
    </row>
    <row r="573" spans="1:10" x14ac:dyDescent="0.35">
      <c r="A573" s="3" t="s">
        <v>581</v>
      </c>
      <c r="B573" s="6">
        <v>42950</v>
      </c>
      <c r="C573" s="10" t="s">
        <v>8</v>
      </c>
      <c r="D573" s="3" t="s">
        <v>27</v>
      </c>
      <c r="E573" s="4">
        <v>45.99</v>
      </c>
      <c r="F573" s="3">
        <v>14</v>
      </c>
      <c r="G573" s="3">
        <f t="shared" si="24"/>
        <v>643.86</v>
      </c>
      <c r="H573" s="3">
        <f t="shared" si="25"/>
        <v>32.193000000000005</v>
      </c>
      <c r="I573" s="7">
        <v>4.99</v>
      </c>
      <c r="J573" s="5">
        <f t="shared" si="26"/>
        <v>606.67700000000002</v>
      </c>
    </row>
    <row r="574" spans="1:10" x14ac:dyDescent="0.35">
      <c r="A574" s="3" t="s">
        <v>582</v>
      </c>
      <c r="B574" s="6">
        <v>42949</v>
      </c>
      <c r="C574" s="10" t="s">
        <v>589</v>
      </c>
      <c r="D574" s="3" t="s">
        <v>9</v>
      </c>
      <c r="E574" s="4">
        <v>22.38</v>
      </c>
      <c r="F574" s="3">
        <v>26</v>
      </c>
      <c r="G574" s="3">
        <f t="shared" si="24"/>
        <v>581.88</v>
      </c>
      <c r="H574" s="3">
        <f t="shared" si="25"/>
        <v>29.094000000000001</v>
      </c>
      <c r="I574" s="7">
        <v>15.1</v>
      </c>
      <c r="J574" s="5">
        <f t="shared" si="26"/>
        <v>537.68599999999992</v>
      </c>
    </row>
    <row r="575" spans="1:10" x14ac:dyDescent="0.35">
      <c r="A575" s="3" t="s">
        <v>583</v>
      </c>
      <c r="B575" s="6">
        <v>42948</v>
      </c>
      <c r="C575" s="10" t="s">
        <v>8</v>
      </c>
      <c r="D575" s="3" t="s">
        <v>9</v>
      </c>
      <c r="E575" s="4">
        <v>36.549999999999997</v>
      </c>
      <c r="F575" s="3">
        <v>45</v>
      </c>
      <c r="G575" s="3">
        <f t="shared" si="24"/>
        <v>1644.7499999999998</v>
      </c>
      <c r="H575" s="3">
        <f t="shared" si="25"/>
        <v>82.237499999999997</v>
      </c>
      <c r="I575" s="7">
        <v>13.89</v>
      </c>
      <c r="J575" s="5">
        <f t="shared" si="26"/>
        <v>1548.6224999999997</v>
      </c>
    </row>
    <row r="576" spans="1:10" x14ac:dyDescent="0.35">
      <c r="A576" s="3" t="s">
        <v>584</v>
      </c>
      <c r="B576" s="6">
        <v>42947</v>
      </c>
      <c r="C576" s="10" t="s">
        <v>589</v>
      </c>
      <c r="D576" s="3" t="s">
        <v>27</v>
      </c>
      <c r="E576" s="4">
        <v>4</v>
      </c>
      <c r="F576" s="3">
        <v>19</v>
      </c>
      <c r="G576" s="3">
        <f t="shared" si="24"/>
        <v>76</v>
      </c>
      <c r="H576" s="3">
        <f t="shared" si="25"/>
        <v>3.8000000000000003</v>
      </c>
      <c r="I576" s="7">
        <v>1.3</v>
      </c>
      <c r="J576" s="5">
        <f t="shared" si="26"/>
        <v>70.900000000000006</v>
      </c>
    </row>
    <row r="577" spans="1:10" x14ac:dyDescent="0.35">
      <c r="A577" s="3" t="s">
        <v>585</v>
      </c>
      <c r="B577" s="6">
        <v>42946</v>
      </c>
      <c r="C577" s="10" t="s">
        <v>8</v>
      </c>
      <c r="D577" s="3" t="s">
        <v>9</v>
      </c>
      <c r="E577" s="4">
        <v>100.97</v>
      </c>
      <c r="F577" s="3">
        <v>15</v>
      </c>
      <c r="G577" s="3">
        <f t="shared" si="24"/>
        <v>1514.55</v>
      </c>
      <c r="H577" s="3">
        <f t="shared" si="25"/>
        <v>75.727500000000006</v>
      </c>
      <c r="I577" s="7">
        <v>7.18</v>
      </c>
      <c r="J577" s="5">
        <f t="shared" si="26"/>
        <v>1431.6424999999999</v>
      </c>
    </row>
    <row r="578" spans="1:10" x14ac:dyDescent="0.35">
      <c r="A578" s="3" t="s">
        <v>586</v>
      </c>
      <c r="B578" s="6">
        <v>42945</v>
      </c>
      <c r="C578" s="10" t="s">
        <v>589</v>
      </c>
      <c r="D578" s="3" t="s">
        <v>27</v>
      </c>
      <c r="E578" s="4">
        <v>20.99</v>
      </c>
      <c r="F578" s="3">
        <v>8</v>
      </c>
      <c r="G578" s="3">
        <f t="shared" si="24"/>
        <v>167.92</v>
      </c>
      <c r="H578" s="3">
        <f t="shared" si="25"/>
        <v>8.395999999999999</v>
      </c>
      <c r="I578" s="7">
        <v>4.8099999999999996</v>
      </c>
      <c r="J578" s="5">
        <f t="shared" si="26"/>
        <v>154.714</v>
      </c>
    </row>
    <row r="579" spans="1:10" x14ac:dyDescent="0.35">
      <c r="A579" s="3"/>
      <c r="B579" s="6"/>
      <c r="D579" s="3"/>
      <c r="E579" s="4"/>
      <c r="F579" s="3"/>
      <c r="G579" s="3"/>
      <c r="H579" s="3"/>
      <c r="I579" s="7"/>
      <c r="J579" s="5"/>
    </row>
    <row r="580" spans="1:10" x14ac:dyDescent="0.35">
      <c r="A580" s="3"/>
      <c r="B580" s="6"/>
      <c r="D580" s="3"/>
      <c r="E580" s="4"/>
      <c r="F580" s="3"/>
      <c r="G580" s="3"/>
      <c r="H580" s="3"/>
      <c r="I580" s="7"/>
      <c r="J580" s="5"/>
    </row>
    <row r="581" spans="1:10" x14ac:dyDescent="0.35">
      <c r="A581" s="3"/>
      <c r="B581" s="6"/>
      <c r="D581" s="3"/>
      <c r="E581" s="4"/>
      <c r="F581" s="3"/>
      <c r="G581" s="3"/>
      <c r="H581" s="3"/>
      <c r="I581" s="7"/>
      <c r="J581" s="5"/>
    </row>
    <row r="582" spans="1:10" x14ac:dyDescent="0.35">
      <c r="A582" s="3"/>
      <c r="B582" s="6"/>
      <c r="D582" s="3"/>
      <c r="E582" s="4"/>
      <c r="F582" s="3"/>
      <c r="G582" s="3"/>
      <c r="H582" s="3"/>
      <c r="I582" s="7"/>
      <c r="J582" s="5"/>
    </row>
    <row r="583" spans="1:10" x14ac:dyDescent="0.35">
      <c r="A583" s="3"/>
      <c r="B583" s="6"/>
      <c r="D583" s="3"/>
      <c r="E583" s="4"/>
      <c r="F583" s="3"/>
      <c r="G583" s="3"/>
      <c r="H583" s="3"/>
      <c r="I583" s="7"/>
      <c r="J583" s="5"/>
    </row>
    <row r="584" spans="1:10" x14ac:dyDescent="0.35">
      <c r="A584" s="3"/>
      <c r="B584" s="6"/>
      <c r="D584" s="3"/>
      <c r="E584" s="4"/>
      <c r="F584" s="3"/>
      <c r="G584" s="3"/>
      <c r="H584" s="3"/>
      <c r="I584" s="7"/>
      <c r="J584" s="5"/>
    </row>
    <row r="585" spans="1:10" x14ac:dyDescent="0.35">
      <c r="A585" s="3"/>
      <c r="B585" s="6"/>
      <c r="D585" s="3"/>
      <c r="E585" s="4"/>
      <c r="F585" s="3"/>
      <c r="G585" s="3"/>
      <c r="H585" s="3"/>
      <c r="I585" s="7"/>
      <c r="J585" s="5"/>
    </row>
    <row r="586" spans="1:10" x14ac:dyDescent="0.35">
      <c r="A586" s="3"/>
      <c r="B586" s="6"/>
      <c r="D586" s="3"/>
      <c r="E586" s="4"/>
      <c r="F586" s="3"/>
      <c r="G586" s="3"/>
      <c r="H586" s="3"/>
      <c r="I586" s="7"/>
      <c r="J586" s="5"/>
    </row>
    <row r="587" spans="1:10" x14ac:dyDescent="0.35">
      <c r="A587" s="3"/>
      <c r="B587" s="6"/>
      <c r="D587" s="3"/>
      <c r="E587" s="4"/>
      <c r="F587" s="3"/>
      <c r="G587" s="3"/>
      <c r="H587" s="3"/>
      <c r="I587" s="7"/>
      <c r="J587" s="5"/>
    </row>
    <row r="588" spans="1:10" x14ac:dyDescent="0.35">
      <c r="A588" s="3"/>
      <c r="B588" s="6"/>
      <c r="D588" s="3"/>
      <c r="E588" s="4"/>
      <c r="F588" s="3"/>
      <c r="G588" s="3"/>
      <c r="H588" s="3"/>
      <c r="I588" s="7"/>
      <c r="J588" s="5"/>
    </row>
    <row r="589" spans="1:10" x14ac:dyDescent="0.35">
      <c r="A589" s="3"/>
      <c r="B589" s="6"/>
      <c r="D589" s="3"/>
      <c r="E589" s="4"/>
      <c r="F589" s="3"/>
      <c r="G589" s="3"/>
      <c r="H589" s="3"/>
      <c r="I589" s="7"/>
      <c r="J589" s="5"/>
    </row>
    <row r="590" spans="1:10" x14ac:dyDescent="0.35">
      <c r="A590" s="3"/>
      <c r="B590" s="6"/>
      <c r="D590" s="3"/>
      <c r="E590" s="4"/>
      <c r="F590" s="3"/>
      <c r="G590" s="3"/>
      <c r="H590" s="3"/>
      <c r="I590" s="7"/>
      <c r="J590" s="5"/>
    </row>
    <row r="591" spans="1:10" x14ac:dyDescent="0.35">
      <c r="A591" s="3"/>
      <c r="B591" s="6"/>
      <c r="D591" s="3"/>
      <c r="E591" s="4"/>
      <c r="F591" s="3"/>
      <c r="G591" s="3"/>
      <c r="H591" s="3"/>
      <c r="I591" s="7"/>
      <c r="J591" s="5"/>
    </row>
    <row r="592" spans="1:10" x14ac:dyDescent="0.35">
      <c r="A592" s="3"/>
      <c r="B592" s="6"/>
      <c r="D592" s="3"/>
      <c r="E592" s="4"/>
      <c r="F592" s="3"/>
      <c r="G592" s="3"/>
      <c r="H592" s="3"/>
      <c r="I592" s="7"/>
      <c r="J592" s="5"/>
    </row>
    <row r="593" spans="1:10" x14ac:dyDescent="0.35">
      <c r="A593" s="3"/>
      <c r="B593" s="6"/>
      <c r="D593" s="3"/>
      <c r="E593" s="4"/>
      <c r="F593" s="3"/>
      <c r="G593" s="3"/>
      <c r="H593" s="3"/>
      <c r="I593" s="7"/>
      <c r="J593" s="5"/>
    </row>
    <row r="594" spans="1:10" x14ac:dyDescent="0.35">
      <c r="A594" s="3"/>
      <c r="B594" s="6"/>
      <c r="D594" s="3"/>
      <c r="E594" s="4"/>
      <c r="F594" s="3"/>
      <c r="G594" s="3"/>
      <c r="H594" s="3"/>
      <c r="I594" s="7"/>
      <c r="J594" s="5"/>
    </row>
    <row r="595" spans="1:10" x14ac:dyDescent="0.35">
      <c r="A595" s="3"/>
      <c r="B595" s="6"/>
      <c r="D595" s="3"/>
      <c r="E595" s="4"/>
      <c r="F595" s="3"/>
      <c r="G595" s="3"/>
      <c r="H595" s="3"/>
      <c r="I595" s="7"/>
      <c r="J595" s="5"/>
    </row>
    <row r="596" spans="1:10" x14ac:dyDescent="0.35">
      <c r="A596" s="3"/>
      <c r="B596" s="6"/>
      <c r="D596" s="3"/>
      <c r="E596" s="4"/>
      <c r="F596" s="3"/>
      <c r="G596" s="3"/>
      <c r="H596" s="3"/>
      <c r="I596" s="7"/>
      <c r="J596" s="5"/>
    </row>
    <row r="597" spans="1:10" x14ac:dyDescent="0.35">
      <c r="A597" s="3"/>
      <c r="B597" s="6"/>
      <c r="D597" s="3"/>
      <c r="E597" s="4"/>
      <c r="F597" s="3"/>
      <c r="G597" s="3"/>
      <c r="H597" s="3"/>
      <c r="I597" s="7"/>
      <c r="J597" s="5"/>
    </row>
    <row r="598" spans="1:10" x14ac:dyDescent="0.35">
      <c r="A598" s="3"/>
      <c r="B598" s="6"/>
      <c r="D598" s="3"/>
      <c r="E598" s="4"/>
      <c r="F598" s="3"/>
      <c r="G598" s="3"/>
      <c r="H598" s="3"/>
      <c r="I598" s="7"/>
      <c r="J598" s="5"/>
    </row>
    <row r="599" spans="1:10" x14ac:dyDescent="0.35">
      <c r="A599" s="3"/>
      <c r="B599" s="6"/>
      <c r="D599" s="3"/>
      <c r="E599" s="4"/>
      <c r="F599" s="3"/>
      <c r="G599" s="3"/>
      <c r="H599" s="3"/>
      <c r="I599" s="7"/>
      <c r="J599" s="5"/>
    </row>
    <row r="600" spans="1:10" x14ac:dyDescent="0.35">
      <c r="A600" s="3"/>
      <c r="B600" s="6"/>
      <c r="D600" s="3"/>
      <c r="E600" s="4"/>
      <c r="F600" s="3"/>
      <c r="G600" s="3"/>
      <c r="H600" s="3"/>
      <c r="I600" s="7"/>
      <c r="J600" s="5"/>
    </row>
    <row r="601" spans="1:10" x14ac:dyDescent="0.35">
      <c r="A601" s="3"/>
      <c r="B601" s="6"/>
      <c r="D601" s="3"/>
      <c r="E601" s="4"/>
      <c r="F601" s="3"/>
      <c r="G601" s="3"/>
      <c r="H601" s="3"/>
      <c r="I601" s="7"/>
      <c r="J601" s="5"/>
    </row>
    <row r="602" spans="1:10" x14ac:dyDescent="0.35">
      <c r="B602" s="6"/>
      <c r="D602" s="3"/>
      <c r="E602" s="4"/>
      <c r="F602" s="3"/>
      <c r="G602" s="3"/>
      <c r="H602" s="3"/>
      <c r="I602" s="7"/>
      <c r="J602" s="5"/>
    </row>
    <row r="603" spans="1:10" x14ac:dyDescent="0.35">
      <c r="B603" s="6"/>
      <c r="D603" s="3"/>
      <c r="E603" s="4"/>
      <c r="F603" s="3"/>
      <c r="G603" s="3"/>
      <c r="H603" s="3"/>
      <c r="I603" s="7"/>
      <c r="J603" s="5"/>
    </row>
    <row r="604" spans="1:10" x14ac:dyDescent="0.35">
      <c r="B604" s="6"/>
      <c r="D604" s="3"/>
      <c r="E604" s="4"/>
      <c r="F604" s="3"/>
      <c r="G604" s="3"/>
      <c r="H604" s="3"/>
      <c r="I604" s="7"/>
      <c r="J604" s="5"/>
    </row>
    <row r="605" spans="1:10" x14ac:dyDescent="0.35">
      <c r="B605" s="6"/>
      <c r="D605" s="3"/>
      <c r="E605" s="4"/>
      <c r="F605" s="3"/>
      <c r="G605" s="3"/>
      <c r="H605" s="3"/>
      <c r="I605" s="7"/>
      <c r="J605" s="5"/>
    </row>
    <row r="606" spans="1:10" x14ac:dyDescent="0.35">
      <c r="B606" s="6"/>
      <c r="D606" s="3"/>
      <c r="E606" s="4"/>
      <c r="F606" s="3"/>
      <c r="G606" s="3"/>
      <c r="H606" s="3"/>
      <c r="I606" s="7"/>
      <c r="J606" s="5"/>
    </row>
    <row r="607" spans="1:10" x14ac:dyDescent="0.35">
      <c r="B607" s="6"/>
      <c r="D607" s="3"/>
      <c r="E607" s="4"/>
      <c r="F607" s="3"/>
      <c r="G607" s="3"/>
      <c r="H607" s="3"/>
      <c r="I607" s="7"/>
      <c r="J607" s="5"/>
    </row>
    <row r="608" spans="1:10" x14ac:dyDescent="0.35">
      <c r="B608" s="6"/>
      <c r="D608" s="3"/>
      <c r="E608" s="4"/>
      <c r="F608" s="3"/>
      <c r="G608" s="3"/>
      <c r="H608" s="3"/>
      <c r="I608" s="7"/>
      <c r="J608" s="5"/>
    </row>
    <row r="609" spans="2:10" x14ac:dyDescent="0.35">
      <c r="B609" s="6"/>
      <c r="D609" s="3"/>
      <c r="E609" s="4"/>
      <c r="F609" s="3"/>
      <c r="G609" s="3"/>
      <c r="H609" s="3"/>
      <c r="I609" s="7"/>
      <c r="J609" s="5"/>
    </row>
    <row r="610" spans="2:10" x14ac:dyDescent="0.35">
      <c r="B610" s="6"/>
      <c r="D610" s="3"/>
      <c r="E610" s="4"/>
      <c r="F610" s="3"/>
      <c r="G610" s="3"/>
      <c r="H610" s="3"/>
      <c r="I610" s="7"/>
      <c r="J610" s="5"/>
    </row>
    <row r="611" spans="2:10" x14ac:dyDescent="0.35">
      <c r="B611" s="6"/>
      <c r="D611" s="3"/>
      <c r="E611" s="4"/>
      <c r="F611" s="3"/>
      <c r="G611" s="3"/>
      <c r="H611" s="3"/>
      <c r="I611" s="7"/>
      <c r="J611" s="5"/>
    </row>
    <row r="612" spans="2:10" x14ac:dyDescent="0.35">
      <c r="B612" s="6"/>
      <c r="D612" s="3"/>
      <c r="E612" s="4"/>
      <c r="F612" s="3"/>
      <c r="G612" s="3"/>
      <c r="H612" s="3"/>
      <c r="I612" s="7"/>
      <c r="J612" s="5"/>
    </row>
    <row r="613" spans="2:10" x14ac:dyDescent="0.35">
      <c r="B613" s="6"/>
      <c r="D613" s="3"/>
      <c r="E613" s="4"/>
      <c r="F613" s="3"/>
      <c r="G613" s="3"/>
      <c r="H613" s="3"/>
      <c r="I613" s="7"/>
      <c r="J613" s="5"/>
    </row>
    <row r="614" spans="2:10" x14ac:dyDescent="0.35">
      <c r="B614" s="6"/>
      <c r="D614" s="3"/>
      <c r="E614" s="4"/>
      <c r="F614" s="3"/>
      <c r="G614" s="3"/>
      <c r="H614" s="3"/>
      <c r="I614" s="7"/>
      <c r="J614" s="5"/>
    </row>
    <row r="615" spans="2:10" x14ac:dyDescent="0.35">
      <c r="B615" s="6"/>
      <c r="D615" s="3"/>
      <c r="E615" s="4"/>
      <c r="F615" s="3"/>
      <c r="G615" s="3"/>
      <c r="H615" s="3"/>
      <c r="I615" s="7"/>
      <c r="J615" s="5"/>
    </row>
    <row r="616" spans="2:10" x14ac:dyDescent="0.35">
      <c r="B616" s="6"/>
      <c r="D616" s="3"/>
      <c r="E616" s="4"/>
      <c r="F616" s="3"/>
      <c r="G616" s="3"/>
      <c r="H616" s="3"/>
      <c r="I616" s="7"/>
      <c r="J616" s="5"/>
    </row>
    <row r="617" spans="2:10" x14ac:dyDescent="0.35">
      <c r="B617" s="6"/>
      <c r="D617" s="3"/>
      <c r="E617" s="4"/>
      <c r="F617" s="3"/>
      <c r="G617" s="3"/>
      <c r="H617" s="3"/>
      <c r="I617" s="7"/>
      <c r="J617" s="5"/>
    </row>
  </sheetData>
  <sortState xmlns:xlrd2="http://schemas.microsoft.com/office/spreadsheetml/2017/richdata2" ref="A3:J617">
    <sortCondition descending="1" ref="B3"/>
  </sortState>
  <pageMargins left="0.7" right="0.7" top="0.75" bottom="0.75" header="0.3" footer="0.3"/>
  <pageSetup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F4F0-C3AF-476D-9A26-F43ECA5E785C}">
  <sheetPr>
    <pageSetUpPr autoPageBreaks="0" fitToPage="1"/>
  </sheetPr>
  <dimension ref="A1:J617"/>
  <sheetViews>
    <sheetView zoomScale="70" zoomScaleNormal="70" zoomScaleSheetLayoutView="80" zoomScalePageLayoutView="70" workbookViewId="0">
      <selection activeCell="A2" sqref="A2"/>
    </sheetView>
  </sheetViews>
  <sheetFormatPr defaultRowHeight="14.5" x14ac:dyDescent="0.35"/>
  <cols>
    <col min="1" max="10" width="16.7265625" customWidth="1"/>
  </cols>
  <sheetData>
    <row r="1" spans="1:10" ht="28.5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5">
      <c r="A2" s="1" t="s">
        <v>1</v>
      </c>
      <c r="B2" s="1" t="s">
        <v>590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591</v>
      </c>
      <c r="H2" s="1" t="s">
        <v>592</v>
      </c>
      <c r="I2" s="1" t="s">
        <v>593</v>
      </c>
      <c r="J2" s="2" t="s">
        <v>6</v>
      </c>
    </row>
    <row r="3" spans="1:10" x14ac:dyDescent="0.35">
      <c r="A3" s="3" t="s">
        <v>10</v>
      </c>
      <c r="B3" s="6">
        <v>43937</v>
      </c>
      <c r="C3" s="10" t="s">
        <v>588</v>
      </c>
      <c r="D3" s="3" t="s">
        <v>9</v>
      </c>
      <c r="E3" s="4">
        <v>19.98</v>
      </c>
      <c r="F3" s="3">
        <v>31</v>
      </c>
      <c r="G3" s="3">
        <f t="shared" ref="G3:G66" si="0">E3*F3</f>
        <v>619.38</v>
      </c>
      <c r="H3" s="3">
        <f t="shared" ref="H3:H66" si="1">G3*5%</f>
        <v>30.969000000000001</v>
      </c>
      <c r="I3" s="7">
        <v>4</v>
      </c>
      <c r="J3" s="5">
        <f t="shared" ref="J3:J66" si="2">G3-H3-I3</f>
        <v>584.41099999999994</v>
      </c>
    </row>
    <row r="4" spans="1:10" x14ac:dyDescent="0.35">
      <c r="A4" s="3" t="s">
        <v>16</v>
      </c>
      <c r="B4" s="6">
        <v>43932</v>
      </c>
      <c r="C4" s="10" t="s">
        <v>588</v>
      </c>
      <c r="D4" s="3" t="s">
        <v>9</v>
      </c>
      <c r="E4" s="4">
        <v>7.08</v>
      </c>
      <c r="F4" s="3">
        <v>46</v>
      </c>
      <c r="G4" s="3">
        <f t="shared" si="0"/>
        <v>325.68</v>
      </c>
      <c r="H4" s="3">
        <f t="shared" si="1"/>
        <v>16.284000000000002</v>
      </c>
      <c r="I4" s="7">
        <v>2.35</v>
      </c>
      <c r="J4" s="5">
        <f t="shared" si="2"/>
        <v>307.04599999999999</v>
      </c>
    </row>
    <row r="5" spans="1:10" x14ac:dyDescent="0.35">
      <c r="A5" s="3" t="s">
        <v>30</v>
      </c>
      <c r="B5" s="6">
        <v>43920</v>
      </c>
      <c r="C5" s="10" t="s">
        <v>588</v>
      </c>
      <c r="D5" s="3" t="s">
        <v>9</v>
      </c>
      <c r="E5" s="4">
        <v>7.28</v>
      </c>
      <c r="F5" s="3">
        <v>39</v>
      </c>
      <c r="G5" s="3">
        <f t="shared" si="0"/>
        <v>283.92</v>
      </c>
      <c r="H5" s="3">
        <f t="shared" si="1"/>
        <v>14.196000000000002</v>
      </c>
      <c r="I5" s="7">
        <v>11.15</v>
      </c>
      <c r="J5" s="5">
        <f t="shared" si="2"/>
        <v>258.57400000000001</v>
      </c>
    </row>
    <row r="6" spans="1:10" x14ac:dyDescent="0.35">
      <c r="A6" s="3" t="s">
        <v>37</v>
      </c>
      <c r="B6" s="6">
        <v>43913</v>
      </c>
      <c r="C6" s="10" t="s">
        <v>588</v>
      </c>
      <c r="D6" s="3" t="s">
        <v>9</v>
      </c>
      <c r="E6" s="4">
        <v>152.47999999999999</v>
      </c>
      <c r="F6" s="3">
        <v>46</v>
      </c>
      <c r="G6" s="3">
        <f t="shared" si="0"/>
        <v>7014.08</v>
      </c>
      <c r="H6" s="3">
        <f t="shared" si="1"/>
        <v>350.70400000000001</v>
      </c>
      <c r="I6" s="7">
        <v>4</v>
      </c>
      <c r="J6" s="5">
        <f t="shared" si="2"/>
        <v>6659.3760000000002</v>
      </c>
    </row>
    <row r="7" spans="1:10" x14ac:dyDescent="0.35">
      <c r="A7" s="3" t="s">
        <v>41</v>
      </c>
      <c r="B7" s="6">
        <v>43909</v>
      </c>
      <c r="C7" s="10" t="s">
        <v>588</v>
      </c>
      <c r="D7" s="3" t="s">
        <v>9</v>
      </c>
      <c r="E7" s="4">
        <v>15.98</v>
      </c>
      <c r="F7" s="3">
        <v>14</v>
      </c>
      <c r="G7" s="3">
        <f t="shared" si="0"/>
        <v>223.72</v>
      </c>
      <c r="H7" s="3">
        <f t="shared" si="1"/>
        <v>11.186</v>
      </c>
      <c r="I7" s="7">
        <v>4</v>
      </c>
      <c r="J7" s="5">
        <f t="shared" si="2"/>
        <v>208.53399999999999</v>
      </c>
    </row>
    <row r="8" spans="1:10" x14ac:dyDescent="0.35">
      <c r="A8" s="3" t="s">
        <v>43</v>
      </c>
      <c r="B8" s="6">
        <v>43907</v>
      </c>
      <c r="C8" s="10" t="s">
        <v>588</v>
      </c>
      <c r="D8" s="3" t="s">
        <v>9</v>
      </c>
      <c r="E8" s="4">
        <v>3.89</v>
      </c>
      <c r="F8" s="3">
        <v>3</v>
      </c>
      <c r="G8" s="3">
        <f t="shared" si="0"/>
        <v>11.67</v>
      </c>
      <c r="H8" s="3">
        <f t="shared" si="1"/>
        <v>0.58350000000000002</v>
      </c>
      <c r="I8" s="7">
        <v>7.01</v>
      </c>
      <c r="J8" s="5">
        <f t="shared" si="2"/>
        <v>4.0764999999999993</v>
      </c>
    </row>
    <row r="9" spans="1:10" x14ac:dyDescent="0.35">
      <c r="A9" s="3" t="s">
        <v>45</v>
      </c>
      <c r="B9" s="6">
        <v>43905</v>
      </c>
      <c r="C9" s="10" t="s">
        <v>588</v>
      </c>
      <c r="D9" s="3" t="s">
        <v>9</v>
      </c>
      <c r="E9" s="4">
        <v>2.08</v>
      </c>
      <c r="F9" s="3">
        <v>49</v>
      </c>
      <c r="G9" s="3">
        <f t="shared" si="0"/>
        <v>101.92</v>
      </c>
      <c r="H9" s="3">
        <f t="shared" si="1"/>
        <v>5.0960000000000001</v>
      </c>
      <c r="I9" s="7">
        <v>2.56</v>
      </c>
      <c r="J9" s="5">
        <f t="shared" si="2"/>
        <v>94.263999999999996</v>
      </c>
    </row>
    <row r="10" spans="1:10" x14ac:dyDescent="0.35">
      <c r="A10" s="3" t="s">
        <v>47</v>
      </c>
      <c r="B10" s="6">
        <v>43903</v>
      </c>
      <c r="C10" s="10" t="s">
        <v>588</v>
      </c>
      <c r="D10" s="3" t="s">
        <v>9</v>
      </c>
      <c r="E10" s="4">
        <v>10.23</v>
      </c>
      <c r="F10" s="3">
        <v>19</v>
      </c>
      <c r="G10" s="3">
        <f t="shared" si="0"/>
        <v>194.37</v>
      </c>
      <c r="H10" s="3">
        <f t="shared" si="1"/>
        <v>9.7185000000000006</v>
      </c>
      <c r="I10" s="7">
        <v>4.68</v>
      </c>
      <c r="J10" s="5">
        <f t="shared" si="2"/>
        <v>179.97149999999999</v>
      </c>
    </row>
    <row r="11" spans="1:10" x14ac:dyDescent="0.35">
      <c r="A11" s="3" t="s">
        <v>49</v>
      </c>
      <c r="B11" s="6">
        <v>43901</v>
      </c>
      <c r="C11" s="10" t="s">
        <v>588</v>
      </c>
      <c r="D11" s="3" t="s">
        <v>27</v>
      </c>
      <c r="E11" s="4">
        <v>12.22</v>
      </c>
      <c r="F11" s="3">
        <v>17</v>
      </c>
      <c r="G11" s="3">
        <f t="shared" si="0"/>
        <v>207.74</v>
      </c>
      <c r="H11" s="3">
        <f t="shared" si="1"/>
        <v>10.387</v>
      </c>
      <c r="I11" s="7">
        <v>2.85</v>
      </c>
      <c r="J11" s="5">
        <f t="shared" si="2"/>
        <v>194.50300000000001</v>
      </c>
    </row>
    <row r="12" spans="1:10" x14ac:dyDescent="0.35">
      <c r="A12" s="3" t="s">
        <v>50</v>
      </c>
      <c r="B12" s="6">
        <v>43900</v>
      </c>
      <c r="C12" s="10" t="s">
        <v>588</v>
      </c>
      <c r="D12" s="3" t="s">
        <v>9</v>
      </c>
      <c r="E12" s="4">
        <v>29.74</v>
      </c>
      <c r="F12" s="3">
        <v>22</v>
      </c>
      <c r="G12" s="3">
        <f t="shared" si="0"/>
        <v>654.28</v>
      </c>
      <c r="H12" s="3">
        <f t="shared" si="1"/>
        <v>32.713999999999999</v>
      </c>
      <c r="I12" s="7">
        <v>6.64</v>
      </c>
      <c r="J12" s="5">
        <f t="shared" si="2"/>
        <v>614.92600000000004</v>
      </c>
    </row>
    <row r="13" spans="1:10" x14ac:dyDescent="0.35">
      <c r="A13" s="3" t="s">
        <v>51</v>
      </c>
      <c r="B13" s="6">
        <v>43899</v>
      </c>
      <c r="C13" s="10" t="s">
        <v>588</v>
      </c>
      <c r="D13" s="3" t="s">
        <v>9</v>
      </c>
      <c r="E13" s="4">
        <v>1.26</v>
      </c>
      <c r="F13" s="3">
        <v>37</v>
      </c>
      <c r="G13" s="3">
        <f t="shared" si="0"/>
        <v>46.62</v>
      </c>
      <c r="H13" s="3">
        <f t="shared" si="1"/>
        <v>2.331</v>
      </c>
      <c r="I13" s="7">
        <v>0.7</v>
      </c>
      <c r="J13" s="5">
        <f t="shared" si="2"/>
        <v>43.588999999999992</v>
      </c>
    </row>
    <row r="14" spans="1:10" x14ac:dyDescent="0.35">
      <c r="A14" s="3" t="s">
        <v>53</v>
      </c>
      <c r="B14" s="6">
        <v>43897</v>
      </c>
      <c r="C14" s="10" t="s">
        <v>588</v>
      </c>
      <c r="D14" s="3" t="s">
        <v>9</v>
      </c>
      <c r="E14" s="4">
        <v>2.08</v>
      </c>
      <c r="F14" s="3">
        <v>36</v>
      </c>
      <c r="G14" s="3">
        <f t="shared" si="0"/>
        <v>74.88</v>
      </c>
      <c r="H14" s="3">
        <f t="shared" si="1"/>
        <v>3.7439999999999998</v>
      </c>
      <c r="I14" s="7">
        <v>2.56</v>
      </c>
      <c r="J14" s="5">
        <f t="shared" si="2"/>
        <v>68.575999999999993</v>
      </c>
    </row>
    <row r="15" spans="1:10" x14ac:dyDescent="0.35">
      <c r="A15" s="3" t="s">
        <v>54</v>
      </c>
      <c r="B15" s="6">
        <v>43896</v>
      </c>
      <c r="C15" s="10" t="s">
        <v>588</v>
      </c>
      <c r="D15" s="3" t="s">
        <v>9</v>
      </c>
      <c r="E15" s="4">
        <v>2.98</v>
      </c>
      <c r="F15" s="3">
        <v>45</v>
      </c>
      <c r="G15" s="3">
        <f t="shared" si="0"/>
        <v>134.1</v>
      </c>
      <c r="H15" s="3">
        <f t="shared" si="1"/>
        <v>6.7050000000000001</v>
      </c>
      <c r="I15" s="7">
        <v>1.58</v>
      </c>
      <c r="J15" s="5">
        <f t="shared" si="2"/>
        <v>125.815</v>
      </c>
    </row>
    <row r="16" spans="1:10" x14ac:dyDescent="0.35">
      <c r="A16" s="3" t="s">
        <v>55</v>
      </c>
      <c r="B16" s="6">
        <v>43895</v>
      </c>
      <c r="C16" s="10" t="s">
        <v>588</v>
      </c>
      <c r="D16" s="3" t="s">
        <v>9</v>
      </c>
      <c r="E16" s="4">
        <v>2.6</v>
      </c>
      <c r="F16" s="3">
        <v>8</v>
      </c>
      <c r="G16" s="3">
        <f t="shared" si="0"/>
        <v>20.8</v>
      </c>
      <c r="H16" s="3">
        <f t="shared" si="1"/>
        <v>1.04</v>
      </c>
      <c r="I16" s="7">
        <v>2.4</v>
      </c>
      <c r="J16" s="5">
        <f t="shared" si="2"/>
        <v>17.360000000000003</v>
      </c>
    </row>
    <row r="17" spans="1:10" x14ac:dyDescent="0.35">
      <c r="A17" s="3" t="s">
        <v>57</v>
      </c>
      <c r="B17" s="6">
        <v>43893</v>
      </c>
      <c r="C17" s="10" t="s">
        <v>588</v>
      </c>
      <c r="D17" s="3" t="s">
        <v>9</v>
      </c>
      <c r="E17" s="4">
        <v>1.1399999999999999</v>
      </c>
      <c r="F17" s="3">
        <v>28</v>
      </c>
      <c r="G17" s="3">
        <f t="shared" si="0"/>
        <v>31.919999999999998</v>
      </c>
      <c r="H17" s="3">
        <f t="shared" si="1"/>
        <v>1.5960000000000001</v>
      </c>
      <c r="I17" s="7">
        <v>0.7</v>
      </c>
      <c r="J17" s="5">
        <f t="shared" si="2"/>
        <v>29.623999999999999</v>
      </c>
    </row>
    <row r="18" spans="1:10" x14ac:dyDescent="0.35">
      <c r="A18" s="3" t="s">
        <v>59</v>
      </c>
      <c r="B18" s="6">
        <v>43891</v>
      </c>
      <c r="C18" s="10" t="s">
        <v>588</v>
      </c>
      <c r="D18" s="3" t="s">
        <v>9</v>
      </c>
      <c r="E18" s="4">
        <v>152.47999999999999</v>
      </c>
      <c r="F18" s="3">
        <v>46</v>
      </c>
      <c r="G18" s="3">
        <f t="shared" si="0"/>
        <v>7014.08</v>
      </c>
      <c r="H18" s="3">
        <f t="shared" si="1"/>
        <v>350.70400000000001</v>
      </c>
      <c r="I18" s="7">
        <v>4</v>
      </c>
      <c r="J18" s="5">
        <f t="shared" si="2"/>
        <v>6659.3760000000002</v>
      </c>
    </row>
    <row r="19" spans="1:10" x14ac:dyDescent="0.35">
      <c r="A19" s="3" t="s">
        <v>62</v>
      </c>
      <c r="B19" s="6">
        <v>43888</v>
      </c>
      <c r="C19" s="10" t="s">
        <v>588</v>
      </c>
      <c r="D19" s="3" t="s">
        <v>9</v>
      </c>
      <c r="E19" s="4">
        <v>2.88</v>
      </c>
      <c r="F19" s="3">
        <v>40</v>
      </c>
      <c r="G19" s="3">
        <f t="shared" si="0"/>
        <v>115.19999999999999</v>
      </c>
      <c r="H19" s="3">
        <f t="shared" si="1"/>
        <v>5.76</v>
      </c>
      <c r="I19" s="7">
        <v>1.49</v>
      </c>
      <c r="J19" s="5">
        <f t="shared" si="2"/>
        <v>107.94999999999999</v>
      </c>
    </row>
    <row r="20" spans="1:10" x14ac:dyDescent="0.35">
      <c r="A20" s="3" t="s">
        <v>86</v>
      </c>
      <c r="B20" s="6">
        <v>43864</v>
      </c>
      <c r="C20" s="10" t="s">
        <v>588</v>
      </c>
      <c r="D20" s="3" t="s">
        <v>9</v>
      </c>
      <c r="E20" s="4">
        <v>6.3</v>
      </c>
      <c r="F20" s="3">
        <v>35</v>
      </c>
      <c r="G20" s="3">
        <f t="shared" si="0"/>
        <v>220.5</v>
      </c>
      <c r="H20" s="3">
        <f t="shared" si="1"/>
        <v>11.025</v>
      </c>
      <c r="I20" s="7">
        <v>0.5</v>
      </c>
      <c r="J20" s="5">
        <f t="shared" si="2"/>
        <v>208.97499999999999</v>
      </c>
    </row>
    <row r="21" spans="1:10" x14ac:dyDescent="0.35">
      <c r="A21" s="3" t="s">
        <v>88</v>
      </c>
      <c r="B21" s="6">
        <v>43862</v>
      </c>
      <c r="C21" s="10" t="s">
        <v>588</v>
      </c>
      <c r="D21" s="3" t="s">
        <v>9</v>
      </c>
      <c r="E21" s="4">
        <v>5.68</v>
      </c>
      <c r="F21" s="3">
        <v>34</v>
      </c>
      <c r="G21" s="3">
        <f t="shared" si="0"/>
        <v>193.12</v>
      </c>
      <c r="H21" s="3">
        <f t="shared" si="1"/>
        <v>9.6560000000000006</v>
      </c>
      <c r="I21" s="7">
        <v>3.6</v>
      </c>
      <c r="J21" s="5">
        <f t="shared" si="2"/>
        <v>179.864</v>
      </c>
    </row>
    <row r="22" spans="1:10" x14ac:dyDescent="0.35">
      <c r="A22" s="3" t="s">
        <v>90</v>
      </c>
      <c r="B22" s="6">
        <v>43860</v>
      </c>
      <c r="C22" s="10" t="s">
        <v>588</v>
      </c>
      <c r="D22" s="3" t="s">
        <v>9</v>
      </c>
      <c r="E22" s="4">
        <v>2.88</v>
      </c>
      <c r="F22" s="3">
        <v>41</v>
      </c>
      <c r="G22" s="3">
        <f t="shared" si="0"/>
        <v>118.08</v>
      </c>
      <c r="H22" s="3">
        <f t="shared" si="1"/>
        <v>5.9039999999999999</v>
      </c>
      <c r="I22" s="7">
        <v>1.01</v>
      </c>
      <c r="J22" s="5">
        <f t="shared" si="2"/>
        <v>111.166</v>
      </c>
    </row>
    <row r="23" spans="1:10" x14ac:dyDescent="0.35">
      <c r="A23" s="3" t="s">
        <v>115</v>
      </c>
      <c r="B23" s="6">
        <v>43835</v>
      </c>
      <c r="C23" s="10" t="s">
        <v>588</v>
      </c>
      <c r="D23" s="3" t="s">
        <v>9</v>
      </c>
      <c r="E23" s="4">
        <v>5.68</v>
      </c>
      <c r="F23" s="3">
        <v>23</v>
      </c>
      <c r="G23" s="3">
        <f t="shared" si="0"/>
        <v>130.63999999999999</v>
      </c>
      <c r="H23" s="3">
        <f t="shared" si="1"/>
        <v>6.532</v>
      </c>
      <c r="I23" s="7">
        <v>1.39</v>
      </c>
      <c r="J23" s="5">
        <f t="shared" si="2"/>
        <v>122.71799999999999</v>
      </c>
    </row>
    <row r="24" spans="1:10" x14ac:dyDescent="0.35">
      <c r="A24" s="3" t="s">
        <v>118</v>
      </c>
      <c r="B24" s="6">
        <v>43832</v>
      </c>
      <c r="C24" s="10" t="s">
        <v>588</v>
      </c>
      <c r="D24" s="3" t="s">
        <v>9</v>
      </c>
      <c r="E24" s="4">
        <v>7.28</v>
      </c>
      <c r="F24" s="3">
        <v>50</v>
      </c>
      <c r="G24" s="3">
        <f t="shared" si="0"/>
        <v>364</v>
      </c>
      <c r="H24" s="3">
        <f t="shared" si="1"/>
        <v>18.2</v>
      </c>
      <c r="I24" s="7">
        <v>11.15</v>
      </c>
      <c r="J24" s="5">
        <f t="shared" si="2"/>
        <v>334.65000000000003</v>
      </c>
    </row>
    <row r="25" spans="1:10" x14ac:dyDescent="0.35">
      <c r="A25" s="3" t="s">
        <v>121</v>
      </c>
      <c r="B25" s="6">
        <v>43829</v>
      </c>
      <c r="C25" s="10" t="s">
        <v>588</v>
      </c>
      <c r="D25" s="3" t="s">
        <v>27</v>
      </c>
      <c r="E25" s="4">
        <v>29.99</v>
      </c>
      <c r="F25" s="3">
        <v>36</v>
      </c>
      <c r="G25" s="3">
        <f t="shared" si="0"/>
        <v>1079.6399999999999</v>
      </c>
      <c r="H25" s="3">
        <f t="shared" si="1"/>
        <v>53.981999999999999</v>
      </c>
      <c r="I25" s="7">
        <v>5.5</v>
      </c>
      <c r="J25" s="5">
        <f t="shared" si="2"/>
        <v>1020.1579999999999</v>
      </c>
    </row>
    <row r="26" spans="1:10" x14ac:dyDescent="0.35">
      <c r="A26" s="3" t="s">
        <v>123</v>
      </c>
      <c r="B26" s="6">
        <v>43827</v>
      </c>
      <c r="C26" s="10" t="s">
        <v>588</v>
      </c>
      <c r="D26" s="3" t="s">
        <v>9</v>
      </c>
      <c r="E26" s="4">
        <v>10.89</v>
      </c>
      <c r="F26" s="3">
        <v>19</v>
      </c>
      <c r="G26" s="3">
        <f t="shared" si="0"/>
        <v>206.91000000000003</v>
      </c>
      <c r="H26" s="3">
        <f t="shared" si="1"/>
        <v>10.345500000000001</v>
      </c>
      <c r="I26" s="7">
        <v>4.5</v>
      </c>
      <c r="J26" s="5">
        <f t="shared" si="2"/>
        <v>192.06450000000001</v>
      </c>
    </row>
    <row r="27" spans="1:10" x14ac:dyDescent="0.35">
      <c r="A27" s="3" t="s">
        <v>124</v>
      </c>
      <c r="B27" s="6">
        <v>43826</v>
      </c>
      <c r="C27" s="10" t="s">
        <v>588</v>
      </c>
      <c r="D27" s="3" t="s">
        <v>9</v>
      </c>
      <c r="E27" s="4">
        <v>5.4</v>
      </c>
      <c r="F27" s="3">
        <v>38</v>
      </c>
      <c r="G27" s="3">
        <f t="shared" si="0"/>
        <v>205.20000000000002</v>
      </c>
      <c r="H27" s="3">
        <f t="shared" si="1"/>
        <v>10.260000000000002</v>
      </c>
      <c r="I27" s="7">
        <v>7.78</v>
      </c>
      <c r="J27" s="5">
        <f t="shared" si="2"/>
        <v>187.16000000000003</v>
      </c>
    </row>
    <row r="28" spans="1:10" x14ac:dyDescent="0.35">
      <c r="A28" s="3" t="s">
        <v>126</v>
      </c>
      <c r="B28" s="6">
        <v>43824</v>
      </c>
      <c r="C28" s="10" t="s">
        <v>588</v>
      </c>
      <c r="D28" s="3" t="s">
        <v>9</v>
      </c>
      <c r="E28" s="4">
        <v>3.89</v>
      </c>
      <c r="F28" s="3">
        <v>50</v>
      </c>
      <c r="G28" s="3">
        <f t="shared" si="0"/>
        <v>194.5</v>
      </c>
      <c r="H28" s="3">
        <f t="shared" si="1"/>
        <v>9.7250000000000014</v>
      </c>
      <c r="I28" s="7">
        <v>7.01</v>
      </c>
      <c r="J28" s="5">
        <f t="shared" si="2"/>
        <v>177.76500000000001</v>
      </c>
    </row>
    <row r="29" spans="1:10" x14ac:dyDescent="0.35">
      <c r="A29" s="3" t="s">
        <v>127</v>
      </c>
      <c r="B29" s="6">
        <v>43823</v>
      </c>
      <c r="C29" s="10" t="s">
        <v>588</v>
      </c>
      <c r="D29" s="3" t="s">
        <v>9</v>
      </c>
      <c r="E29" s="4">
        <v>11.97</v>
      </c>
      <c r="F29" s="3">
        <v>38</v>
      </c>
      <c r="G29" s="3">
        <f t="shared" si="0"/>
        <v>454.86</v>
      </c>
      <c r="H29" s="3">
        <f t="shared" si="1"/>
        <v>22.743000000000002</v>
      </c>
      <c r="I29" s="7">
        <v>5.81</v>
      </c>
      <c r="J29" s="5">
        <f t="shared" si="2"/>
        <v>426.30700000000002</v>
      </c>
    </row>
    <row r="30" spans="1:10" x14ac:dyDescent="0.35">
      <c r="A30" s="3" t="s">
        <v>129</v>
      </c>
      <c r="B30" s="6">
        <v>43821</v>
      </c>
      <c r="C30" s="10" t="s">
        <v>588</v>
      </c>
      <c r="D30" s="3" t="s">
        <v>9</v>
      </c>
      <c r="E30" s="4">
        <v>8.6</v>
      </c>
      <c r="F30" s="3">
        <v>2</v>
      </c>
      <c r="G30" s="3">
        <f t="shared" si="0"/>
        <v>17.2</v>
      </c>
      <c r="H30" s="3">
        <f t="shared" si="1"/>
        <v>0.86</v>
      </c>
      <c r="I30" s="7">
        <v>6.19</v>
      </c>
      <c r="J30" s="5">
        <f t="shared" si="2"/>
        <v>10.149999999999999</v>
      </c>
    </row>
    <row r="31" spans="1:10" x14ac:dyDescent="0.35">
      <c r="A31" s="3" t="s">
        <v>130</v>
      </c>
      <c r="B31" s="6">
        <v>43820</v>
      </c>
      <c r="C31" s="10" t="s">
        <v>588</v>
      </c>
      <c r="D31" s="3" t="s">
        <v>9</v>
      </c>
      <c r="E31" s="4">
        <v>165.2</v>
      </c>
      <c r="F31" s="3">
        <v>10</v>
      </c>
      <c r="G31" s="3">
        <f t="shared" si="0"/>
        <v>1652</v>
      </c>
      <c r="H31" s="3">
        <f t="shared" si="1"/>
        <v>82.600000000000009</v>
      </c>
      <c r="I31" s="7">
        <v>19.989999999999998</v>
      </c>
      <c r="J31" s="5">
        <f t="shared" si="2"/>
        <v>1549.41</v>
      </c>
    </row>
    <row r="32" spans="1:10" x14ac:dyDescent="0.35">
      <c r="A32" s="3" t="s">
        <v>136</v>
      </c>
      <c r="B32" s="6">
        <v>43814</v>
      </c>
      <c r="C32" s="10" t="s">
        <v>588</v>
      </c>
      <c r="D32" s="3" t="s">
        <v>27</v>
      </c>
      <c r="E32" s="4">
        <v>155.99</v>
      </c>
      <c r="F32" s="3">
        <v>22</v>
      </c>
      <c r="G32" s="3">
        <f t="shared" si="0"/>
        <v>3431.78</v>
      </c>
      <c r="H32" s="3">
        <f t="shared" si="1"/>
        <v>171.58900000000003</v>
      </c>
      <c r="I32" s="7">
        <v>8.08</v>
      </c>
      <c r="J32" s="5">
        <f t="shared" si="2"/>
        <v>3252.1110000000003</v>
      </c>
    </row>
    <row r="33" spans="1:10" x14ac:dyDescent="0.35">
      <c r="A33" s="3" t="s">
        <v>137</v>
      </c>
      <c r="B33" s="6">
        <v>43813</v>
      </c>
      <c r="C33" s="10" t="s">
        <v>588</v>
      </c>
      <c r="D33" s="3" t="s">
        <v>9</v>
      </c>
      <c r="E33" s="4">
        <v>3.26</v>
      </c>
      <c r="F33" s="3">
        <v>38</v>
      </c>
      <c r="G33" s="3">
        <f t="shared" si="0"/>
        <v>123.88</v>
      </c>
      <c r="H33" s="3">
        <f t="shared" si="1"/>
        <v>6.194</v>
      </c>
      <c r="I33" s="7">
        <v>1.86</v>
      </c>
      <c r="J33" s="5">
        <f t="shared" si="2"/>
        <v>115.82599999999999</v>
      </c>
    </row>
    <row r="34" spans="1:10" x14ac:dyDescent="0.35">
      <c r="A34" s="3" t="s">
        <v>138</v>
      </c>
      <c r="B34" s="6">
        <v>43812</v>
      </c>
      <c r="C34" s="10" t="s">
        <v>588</v>
      </c>
      <c r="D34" s="3" t="s">
        <v>9</v>
      </c>
      <c r="E34" s="4">
        <v>3.78</v>
      </c>
      <c r="F34" s="3">
        <v>38</v>
      </c>
      <c r="G34" s="3">
        <f t="shared" si="0"/>
        <v>143.63999999999999</v>
      </c>
      <c r="H34" s="3">
        <f t="shared" si="1"/>
        <v>7.1819999999999995</v>
      </c>
      <c r="I34" s="7">
        <v>0.71</v>
      </c>
      <c r="J34" s="5">
        <f t="shared" si="2"/>
        <v>135.74799999999999</v>
      </c>
    </row>
    <row r="35" spans="1:10" x14ac:dyDescent="0.35">
      <c r="A35" s="3" t="s">
        <v>139</v>
      </c>
      <c r="B35" s="6">
        <v>43811</v>
      </c>
      <c r="C35" s="10" t="s">
        <v>588</v>
      </c>
      <c r="D35" s="3" t="s">
        <v>9</v>
      </c>
      <c r="E35" s="4">
        <v>15.98</v>
      </c>
      <c r="F35" s="3">
        <v>30</v>
      </c>
      <c r="G35" s="3">
        <f t="shared" si="0"/>
        <v>479.40000000000003</v>
      </c>
      <c r="H35" s="3">
        <f t="shared" si="1"/>
        <v>23.970000000000002</v>
      </c>
      <c r="I35" s="7">
        <v>4</v>
      </c>
      <c r="J35" s="5">
        <f t="shared" si="2"/>
        <v>451.43</v>
      </c>
    </row>
    <row r="36" spans="1:10" x14ac:dyDescent="0.35">
      <c r="A36" s="3" t="s">
        <v>140</v>
      </c>
      <c r="B36" s="6">
        <v>43810</v>
      </c>
      <c r="C36" s="10" t="s">
        <v>588</v>
      </c>
      <c r="D36" s="3" t="s">
        <v>9</v>
      </c>
      <c r="E36" s="4">
        <v>5.18</v>
      </c>
      <c r="F36" s="3">
        <v>32</v>
      </c>
      <c r="G36" s="3">
        <f t="shared" si="0"/>
        <v>165.76</v>
      </c>
      <c r="H36" s="3">
        <f t="shared" si="1"/>
        <v>8.2880000000000003</v>
      </c>
      <c r="I36" s="7">
        <v>2.04</v>
      </c>
      <c r="J36" s="5">
        <f t="shared" si="2"/>
        <v>155.43199999999999</v>
      </c>
    </row>
    <row r="37" spans="1:10" x14ac:dyDescent="0.35">
      <c r="A37" s="3" t="s">
        <v>141</v>
      </c>
      <c r="B37" s="6">
        <v>43809</v>
      </c>
      <c r="C37" s="10" t="s">
        <v>588</v>
      </c>
      <c r="D37" s="3" t="s">
        <v>9</v>
      </c>
      <c r="E37" s="4">
        <v>599.99</v>
      </c>
      <c r="F37" s="3">
        <v>16</v>
      </c>
      <c r="G37" s="3">
        <f t="shared" si="0"/>
        <v>9599.84</v>
      </c>
      <c r="H37" s="3">
        <f t="shared" si="1"/>
        <v>479.99200000000002</v>
      </c>
      <c r="I37" s="7">
        <v>24.49</v>
      </c>
      <c r="J37" s="5">
        <f t="shared" si="2"/>
        <v>9095.3580000000002</v>
      </c>
    </row>
    <row r="38" spans="1:10" x14ac:dyDescent="0.35">
      <c r="A38" s="3" t="s">
        <v>142</v>
      </c>
      <c r="B38" s="6">
        <v>43808</v>
      </c>
      <c r="C38" s="10" t="s">
        <v>588</v>
      </c>
      <c r="D38" s="3" t="s">
        <v>9</v>
      </c>
      <c r="E38" s="4">
        <v>19.84</v>
      </c>
      <c r="F38" s="3">
        <v>39</v>
      </c>
      <c r="G38" s="3">
        <f t="shared" si="0"/>
        <v>773.76</v>
      </c>
      <c r="H38" s="3">
        <f t="shared" si="1"/>
        <v>38.688000000000002</v>
      </c>
      <c r="I38" s="7">
        <v>4.0999999999999996</v>
      </c>
      <c r="J38" s="5">
        <f t="shared" si="2"/>
        <v>730.97199999999998</v>
      </c>
    </row>
    <row r="39" spans="1:10" x14ac:dyDescent="0.35">
      <c r="A39" s="3" t="s">
        <v>143</v>
      </c>
      <c r="B39" s="6">
        <v>43807</v>
      </c>
      <c r="C39" s="10" t="s">
        <v>588</v>
      </c>
      <c r="D39" s="3" t="s">
        <v>9</v>
      </c>
      <c r="E39" s="4">
        <v>45.99</v>
      </c>
      <c r="F39" s="3">
        <v>46</v>
      </c>
      <c r="G39" s="3">
        <f t="shared" si="0"/>
        <v>2115.54</v>
      </c>
      <c r="H39" s="3">
        <f t="shared" si="1"/>
        <v>105.777</v>
      </c>
      <c r="I39" s="7">
        <v>4.99</v>
      </c>
      <c r="J39" s="5">
        <f t="shared" si="2"/>
        <v>2004.7729999999999</v>
      </c>
    </row>
    <row r="40" spans="1:10" x14ac:dyDescent="0.35">
      <c r="A40" s="3" t="s">
        <v>179</v>
      </c>
      <c r="B40" s="6">
        <v>43771</v>
      </c>
      <c r="C40" s="10" t="s">
        <v>588</v>
      </c>
      <c r="D40" s="3" t="s">
        <v>9</v>
      </c>
      <c r="E40" s="4">
        <v>5.68</v>
      </c>
      <c r="F40" s="3">
        <v>27</v>
      </c>
      <c r="G40" s="3">
        <f t="shared" si="0"/>
        <v>153.35999999999999</v>
      </c>
      <c r="H40" s="3">
        <f t="shared" si="1"/>
        <v>7.6679999999999993</v>
      </c>
      <c r="I40" s="7">
        <v>3.6</v>
      </c>
      <c r="J40" s="5">
        <f t="shared" si="2"/>
        <v>142.09199999999998</v>
      </c>
    </row>
    <row r="41" spans="1:10" x14ac:dyDescent="0.35">
      <c r="A41" s="3" t="s">
        <v>183</v>
      </c>
      <c r="B41" s="6">
        <v>43767</v>
      </c>
      <c r="C41" s="10" t="s">
        <v>588</v>
      </c>
      <c r="D41" s="3" t="s">
        <v>9</v>
      </c>
      <c r="E41" s="4">
        <v>20.99</v>
      </c>
      <c r="F41" s="3">
        <v>2</v>
      </c>
      <c r="G41" s="3">
        <f t="shared" si="0"/>
        <v>41.98</v>
      </c>
      <c r="H41" s="3">
        <f t="shared" si="1"/>
        <v>2.0989999999999998</v>
      </c>
      <c r="I41" s="7">
        <v>4.8099999999999996</v>
      </c>
      <c r="J41" s="5">
        <f t="shared" si="2"/>
        <v>35.070999999999998</v>
      </c>
    </row>
    <row r="42" spans="1:10" x14ac:dyDescent="0.35">
      <c r="A42" s="3" t="s">
        <v>188</v>
      </c>
      <c r="B42" s="6">
        <v>43762</v>
      </c>
      <c r="C42" s="10" t="s">
        <v>588</v>
      </c>
      <c r="D42" s="3" t="s">
        <v>9</v>
      </c>
      <c r="E42" s="4">
        <v>152.47999999999999</v>
      </c>
      <c r="F42" s="3">
        <v>12</v>
      </c>
      <c r="G42" s="3">
        <f t="shared" si="0"/>
        <v>1829.7599999999998</v>
      </c>
      <c r="H42" s="3">
        <f t="shared" si="1"/>
        <v>91.488</v>
      </c>
      <c r="I42" s="7">
        <v>4</v>
      </c>
      <c r="J42" s="5">
        <f t="shared" si="2"/>
        <v>1734.2719999999997</v>
      </c>
    </row>
    <row r="43" spans="1:10" x14ac:dyDescent="0.35">
      <c r="A43" s="3" t="s">
        <v>195</v>
      </c>
      <c r="B43" s="6">
        <v>43755</v>
      </c>
      <c r="C43" s="10" t="s">
        <v>588</v>
      </c>
      <c r="D43" s="3" t="s">
        <v>9</v>
      </c>
      <c r="E43" s="4">
        <v>30.98</v>
      </c>
      <c r="F43" s="3">
        <v>24</v>
      </c>
      <c r="G43" s="3">
        <f t="shared" si="0"/>
        <v>743.52</v>
      </c>
      <c r="H43" s="3">
        <f t="shared" si="1"/>
        <v>37.176000000000002</v>
      </c>
      <c r="I43" s="7">
        <v>4</v>
      </c>
      <c r="J43" s="5">
        <f t="shared" si="2"/>
        <v>702.34399999999994</v>
      </c>
    </row>
    <row r="44" spans="1:10" x14ac:dyDescent="0.35">
      <c r="A44" s="3" t="s">
        <v>201</v>
      </c>
      <c r="B44" s="6">
        <v>43749</v>
      </c>
      <c r="C44" s="10" t="s">
        <v>588</v>
      </c>
      <c r="D44" s="3" t="s">
        <v>9</v>
      </c>
      <c r="E44" s="4">
        <v>1.88</v>
      </c>
      <c r="F44" s="3">
        <v>22</v>
      </c>
      <c r="G44" s="3">
        <f t="shared" si="0"/>
        <v>41.36</v>
      </c>
      <c r="H44" s="3">
        <f t="shared" si="1"/>
        <v>2.0680000000000001</v>
      </c>
      <c r="I44" s="7">
        <v>1.49</v>
      </c>
      <c r="J44" s="5">
        <f t="shared" si="2"/>
        <v>37.802</v>
      </c>
    </row>
    <row r="45" spans="1:10" x14ac:dyDescent="0.35">
      <c r="A45" s="3" t="s">
        <v>205</v>
      </c>
      <c r="B45" s="6">
        <v>43745</v>
      </c>
      <c r="C45" s="10" t="s">
        <v>588</v>
      </c>
      <c r="D45" s="3" t="s">
        <v>9</v>
      </c>
      <c r="E45" s="4">
        <v>2.94</v>
      </c>
      <c r="F45" s="3">
        <v>31</v>
      </c>
      <c r="G45" s="3">
        <f t="shared" si="0"/>
        <v>91.14</v>
      </c>
      <c r="H45" s="3">
        <f t="shared" si="1"/>
        <v>4.5570000000000004</v>
      </c>
      <c r="I45" s="7">
        <v>0.81</v>
      </c>
      <c r="J45" s="5">
        <f t="shared" si="2"/>
        <v>85.772999999999996</v>
      </c>
    </row>
    <row r="46" spans="1:10" x14ac:dyDescent="0.35">
      <c r="A46" s="3" t="s">
        <v>209</v>
      </c>
      <c r="B46" s="6">
        <v>43741</v>
      </c>
      <c r="C46" s="10" t="s">
        <v>588</v>
      </c>
      <c r="D46" s="3" t="s">
        <v>9</v>
      </c>
      <c r="E46" s="4">
        <v>3.52</v>
      </c>
      <c r="F46" s="3">
        <v>42</v>
      </c>
      <c r="G46" s="3">
        <f t="shared" si="0"/>
        <v>147.84</v>
      </c>
      <c r="H46" s="3">
        <f t="shared" si="1"/>
        <v>7.3920000000000003</v>
      </c>
      <c r="I46" s="7">
        <v>6.83</v>
      </c>
      <c r="J46" s="5">
        <f t="shared" si="2"/>
        <v>133.61799999999999</v>
      </c>
    </row>
    <row r="47" spans="1:10" x14ac:dyDescent="0.35">
      <c r="A47" s="3" t="s">
        <v>212</v>
      </c>
      <c r="B47" s="6">
        <v>43738</v>
      </c>
      <c r="C47" s="10" t="s">
        <v>588</v>
      </c>
      <c r="D47" s="3" t="s">
        <v>9</v>
      </c>
      <c r="E47" s="4">
        <v>3.98</v>
      </c>
      <c r="F47" s="3">
        <v>27</v>
      </c>
      <c r="G47" s="3">
        <f t="shared" si="0"/>
        <v>107.46</v>
      </c>
      <c r="H47" s="3">
        <f t="shared" si="1"/>
        <v>5.3730000000000002</v>
      </c>
      <c r="I47" s="7">
        <v>0.83</v>
      </c>
      <c r="J47" s="5">
        <f t="shared" si="2"/>
        <v>101.25699999999999</v>
      </c>
    </row>
    <row r="48" spans="1:10" x14ac:dyDescent="0.35">
      <c r="A48" s="3" t="s">
        <v>216</v>
      </c>
      <c r="B48" s="6">
        <v>43734</v>
      </c>
      <c r="C48" s="10" t="s">
        <v>588</v>
      </c>
      <c r="D48" s="3" t="s">
        <v>9</v>
      </c>
      <c r="E48" s="4">
        <v>3.58</v>
      </c>
      <c r="F48" s="3">
        <v>8</v>
      </c>
      <c r="G48" s="3">
        <f t="shared" si="0"/>
        <v>28.64</v>
      </c>
      <c r="H48" s="3">
        <f t="shared" si="1"/>
        <v>1.4320000000000002</v>
      </c>
      <c r="I48" s="7">
        <v>5.47</v>
      </c>
      <c r="J48" s="5">
        <f t="shared" si="2"/>
        <v>21.738000000000003</v>
      </c>
    </row>
    <row r="49" spans="1:10" x14ac:dyDescent="0.35">
      <c r="A49" s="3" t="s">
        <v>220</v>
      </c>
      <c r="B49" s="6">
        <v>43730</v>
      </c>
      <c r="C49" s="10" t="s">
        <v>588</v>
      </c>
      <c r="D49" s="3" t="s">
        <v>9</v>
      </c>
      <c r="E49" s="4">
        <v>3.69</v>
      </c>
      <c r="F49" s="3">
        <v>46</v>
      </c>
      <c r="G49" s="3">
        <f t="shared" si="0"/>
        <v>169.74</v>
      </c>
      <c r="H49" s="3">
        <f t="shared" si="1"/>
        <v>8.4870000000000001</v>
      </c>
      <c r="I49" s="7">
        <v>2.5</v>
      </c>
      <c r="J49" s="5">
        <f t="shared" si="2"/>
        <v>158.75300000000001</v>
      </c>
    </row>
    <row r="50" spans="1:10" x14ac:dyDescent="0.35">
      <c r="A50" s="3" t="s">
        <v>224</v>
      </c>
      <c r="B50" s="6">
        <v>43726</v>
      </c>
      <c r="C50" s="10" t="s">
        <v>588</v>
      </c>
      <c r="D50" s="3" t="s">
        <v>9</v>
      </c>
      <c r="E50" s="4">
        <v>1.26</v>
      </c>
      <c r="F50" s="3">
        <v>11</v>
      </c>
      <c r="G50" s="3">
        <f t="shared" si="0"/>
        <v>13.86</v>
      </c>
      <c r="H50" s="3">
        <f t="shared" si="1"/>
        <v>0.69300000000000006</v>
      </c>
      <c r="I50" s="7">
        <v>0.7</v>
      </c>
      <c r="J50" s="5">
        <f t="shared" si="2"/>
        <v>12.467000000000001</v>
      </c>
    </row>
    <row r="51" spans="1:10" x14ac:dyDescent="0.35">
      <c r="A51" s="3" t="s">
        <v>228</v>
      </c>
      <c r="B51" s="6">
        <v>43722</v>
      </c>
      <c r="C51" s="10" t="s">
        <v>588</v>
      </c>
      <c r="D51" s="3" t="s">
        <v>9</v>
      </c>
      <c r="E51" s="4">
        <v>1.48</v>
      </c>
      <c r="F51" s="3">
        <v>3</v>
      </c>
      <c r="G51" s="3">
        <f t="shared" si="0"/>
        <v>4.4399999999999995</v>
      </c>
      <c r="H51" s="3">
        <f t="shared" si="1"/>
        <v>0.22199999999999998</v>
      </c>
      <c r="I51" s="7">
        <v>0.7</v>
      </c>
      <c r="J51" s="5">
        <f t="shared" si="2"/>
        <v>3.5179999999999998</v>
      </c>
    </row>
    <row r="52" spans="1:10" x14ac:dyDescent="0.35">
      <c r="A52" s="3" t="s">
        <v>249</v>
      </c>
      <c r="B52" s="6">
        <v>43701</v>
      </c>
      <c r="C52" s="10" t="s">
        <v>588</v>
      </c>
      <c r="D52" s="3" t="s">
        <v>9</v>
      </c>
      <c r="E52" s="4">
        <v>7.08</v>
      </c>
      <c r="F52" s="3">
        <v>16</v>
      </c>
      <c r="G52" s="3">
        <f t="shared" si="0"/>
        <v>113.28</v>
      </c>
      <c r="H52" s="3">
        <f t="shared" si="1"/>
        <v>5.6640000000000006</v>
      </c>
      <c r="I52" s="7">
        <v>2.35</v>
      </c>
      <c r="J52" s="5">
        <f t="shared" si="2"/>
        <v>105.26600000000001</v>
      </c>
    </row>
    <row r="53" spans="1:10" x14ac:dyDescent="0.35">
      <c r="A53" s="3" t="s">
        <v>251</v>
      </c>
      <c r="B53" s="6">
        <v>43699</v>
      </c>
      <c r="C53" s="10" t="s">
        <v>588</v>
      </c>
      <c r="D53" s="3" t="s">
        <v>27</v>
      </c>
      <c r="E53" s="4">
        <v>8.1199999999999992</v>
      </c>
      <c r="F53" s="3">
        <v>37</v>
      </c>
      <c r="G53" s="3">
        <f t="shared" si="0"/>
        <v>300.44</v>
      </c>
      <c r="H53" s="3">
        <f t="shared" si="1"/>
        <v>15.022</v>
      </c>
      <c r="I53" s="7">
        <v>2.83</v>
      </c>
      <c r="J53" s="5">
        <f t="shared" si="2"/>
        <v>282.58800000000002</v>
      </c>
    </row>
    <row r="54" spans="1:10" x14ac:dyDescent="0.35">
      <c r="A54" s="3" t="s">
        <v>253</v>
      </c>
      <c r="B54" s="6">
        <v>43697</v>
      </c>
      <c r="C54" s="10" t="s">
        <v>588</v>
      </c>
      <c r="D54" s="3" t="s">
        <v>9</v>
      </c>
      <c r="E54" s="4">
        <v>1.88</v>
      </c>
      <c r="F54" s="3">
        <v>36</v>
      </c>
      <c r="G54" s="3">
        <f t="shared" si="0"/>
        <v>67.679999999999993</v>
      </c>
      <c r="H54" s="3">
        <f t="shared" si="1"/>
        <v>3.3839999999999999</v>
      </c>
      <c r="I54" s="7">
        <v>0.79</v>
      </c>
      <c r="J54" s="5">
        <f t="shared" si="2"/>
        <v>63.505999999999993</v>
      </c>
    </row>
    <row r="55" spans="1:10" x14ac:dyDescent="0.35">
      <c r="A55" s="3" t="s">
        <v>255</v>
      </c>
      <c r="B55" s="6">
        <v>43695</v>
      </c>
      <c r="C55" s="10" t="s">
        <v>588</v>
      </c>
      <c r="D55" s="3" t="s">
        <v>9</v>
      </c>
      <c r="E55" s="4">
        <v>34.76</v>
      </c>
      <c r="F55" s="3">
        <v>27</v>
      </c>
      <c r="G55" s="3">
        <f t="shared" si="0"/>
        <v>938.52</v>
      </c>
      <c r="H55" s="3">
        <f t="shared" si="1"/>
        <v>46.926000000000002</v>
      </c>
      <c r="I55" s="7">
        <v>8.2200000000000006</v>
      </c>
      <c r="J55" s="5">
        <f t="shared" si="2"/>
        <v>883.37399999999991</v>
      </c>
    </row>
    <row r="56" spans="1:10" x14ac:dyDescent="0.35">
      <c r="A56" s="3" t="s">
        <v>257</v>
      </c>
      <c r="B56" s="6">
        <v>43693</v>
      </c>
      <c r="C56" s="10" t="s">
        <v>588</v>
      </c>
      <c r="D56" s="3" t="s">
        <v>9</v>
      </c>
      <c r="E56" s="4">
        <v>40.97</v>
      </c>
      <c r="F56" s="3">
        <v>14</v>
      </c>
      <c r="G56" s="3">
        <f t="shared" si="0"/>
        <v>573.57999999999993</v>
      </c>
      <c r="H56" s="3">
        <f t="shared" si="1"/>
        <v>28.678999999999998</v>
      </c>
      <c r="I56" s="7">
        <v>8.99</v>
      </c>
      <c r="J56" s="5">
        <f t="shared" si="2"/>
        <v>535.91099999999994</v>
      </c>
    </row>
    <row r="57" spans="1:10" x14ac:dyDescent="0.35">
      <c r="A57" s="3" t="s">
        <v>259</v>
      </c>
      <c r="B57" s="6">
        <v>43691</v>
      </c>
      <c r="C57" s="10" t="s">
        <v>588</v>
      </c>
      <c r="D57" s="3" t="s">
        <v>27</v>
      </c>
      <c r="E57" s="4">
        <v>6.23</v>
      </c>
      <c r="F57" s="3">
        <v>33</v>
      </c>
      <c r="G57" s="3">
        <f t="shared" si="0"/>
        <v>205.59</v>
      </c>
      <c r="H57" s="3">
        <f t="shared" si="1"/>
        <v>10.279500000000001</v>
      </c>
      <c r="I57" s="7">
        <v>6.97</v>
      </c>
      <c r="J57" s="5">
        <f t="shared" si="2"/>
        <v>188.34049999999999</v>
      </c>
    </row>
    <row r="58" spans="1:10" x14ac:dyDescent="0.35">
      <c r="A58" s="3" t="s">
        <v>261</v>
      </c>
      <c r="B58" s="6">
        <v>43689</v>
      </c>
      <c r="C58" s="10" t="s">
        <v>588</v>
      </c>
      <c r="D58" s="3" t="s">
        <v>9</v>
      </c>
      <c r="E58" s="4">
        <v>5.84</v>
      </c>
      <c r="F58" s="3">
        <v>19</v>
      </c>
      <c r="G58" s="3">
        <f t="shared" si="0"/>
        <v>110.96</v>
      </c>
      <c r="H58" s="3">
        <f t="shared" si="1"/>
        <v>5.548</v>
      </c>
      <c r="I58" s="7">
        <v>0.83</v>
      </c>
      <c r="J58" s="5">
        <f t="shared" si="2"/>
        <v>104.58199999999999</v>
      </c>
    </row>
    <row r="59" spans="1:10" x14ac:dyDescent="0.35">
      <c r="A59" s="3" t="s">
        <v>267</v>
      </c>
      <c r="B59" s="6">
        <v>43683</v>
      </c>
      <c r="C59" s="10" t="s">
        <v>588</v>
      </c>
      <c r="D59" s="3" t="s">
        <v>9</v>
      </c>
      <c r="E59" s="4">
        <v>3.98</v>
      </c>
      <c r="F59" s="3">
        <v>11</v>
      </c>
      <c r="G59" s="3">
        <f t="shared" si="0"/>
        <v>43.78</v>
      </c>
      <c r="H59" s="3">
        <f t="shared" si="1"/>
        <v>2.1890000000000001</v>
      </c>
      <c r="I59" s="7">
        <v>2.97</v>
      </c>
      <c r="J59" s="5">
        <f t="shared" si="2"/>
        <v>38.621000000000002</v>
      </c>
    </row>
    <row r="60" spans="1:10" x14ac:dyDescent="0.35">
      <c r="A60" s="3" t="s">
        <v>273</v>
      </c>
      <c r="B60" s="6">
        <v>43677</v>
      </c>
      <c r="C60" s="10" t="s">
        <v>588</v>
      </c>
      <c r="D60" s="3" t="s">
        <v>19</v>
      </c>
      <c r="E60" s="4">
        <v>95.99</v>
      </c>
      <c r="F60" s="3">
        <v>14</v>
      </c>
      <c r="G60" s="3">
        <f t="shared" si="0"/>
        <v>1343.86</v>
      </c>
      <c r="H60" s="3">
        <f t="shared" si="1"/>
        <v>67.192999999999998</v>
      </c>
      <c r="I60" s="7">
        <v>8.99</v>
      </c>
      <c r="J60" s="5">
        <f t="shared" si="2"/>
        <v>1267.6769999999999</v>
      </c>
    </row>
    <row r="61" spans="1:10" x14ac:dyDescent="0.35">
      <c r="A61" s="3" t="s">
        <v>280</v>
      </c>
      <c r="B61" s="6">
        <v>43670</v>
      </c>
      <c r="C61" s="10" t="s">
        <v>588</v>
      </c>
      <c r="D61" s="3" t="s">
        <v>19</v>
      </c>
      <c r="E61" s="4">
        <v>1.98</v>
      </c>
      <c r="F61" s="3">
        <v>12</v>
      </c>
      <c r="G61" s="3">
        <f t="shared" si="0"/>
        <v>23.759999999999998</v>
      </c>
      <c r="H61" s="3">
        <f t="shared" si="1"/>
        <v>1.1879999999999999</v>
      </c>
      <c r="I61" s="7">
        <v>4.7699999999999996</v>
      </c>
      <c r="J61" s="5">
        <f t="shared" si="2"/>
        <v>17.802</v>
      </c>
    </row>
    <row r="62" spans="1:10" x14ac:dyDescent="0.35">
      <c r="A62" s="3" t="s">
        <v>286</v>
      </c>
      <c r="B62" s="6">
        <v>43664</v>
      </c>
      <c r="C62" s="10" t="s">
        <v>588</v>
      </c>
      <c r="D62" s="3" t="s">
        <v>19</v>
      </c>
      <c r="E62" s="4">
        <v>10.89</v>
      </c>
      <c r="F62" s="3">
        <v>25</v>
      </c>
      <c r="G62" s="3">
        <f t="shared" si="0"/>
        <v>272.25</v>
      </c>
      <c r="H62" s="3">
        <f t="shared" si="1"/>
        <v>13.612500000000001</v>
      </c>
      <c r="I62" s="7">
        <v>4.5</v>
      </c>
      <c r="J62" s="5">
        <f t="shared" si="2"/>
        <v>254.13749999999999</v>
      </c>
    </row>
    <row r="63" spans="1:10" x14ac:dyDescent="0.35">
      <c r="A63" s="3" t="s">
        <v>292</v>
      </c>
      <c r="B63" s="6">
        <v>43658</v>
      </c>
      <c r="C63" s="10" t="s">
        <v>588</v>
      </c>
      <c r="D63" s="3" t="s">
        <v>19</v>
      </c>
      <c r="E63" s="4">
        <v>20.98</v>
      </c>
      <c r="F63" s="3">
        <v>34</v>
      </c>
      <c r="G63" s="3">
        <f t="shared" si="0"/>
        <v>713.32</v>
      </c>
      <c r="H63" s="3">
        <f t="shared" si="1"/>
        <v>35.666000000000004</v>
      </c>
      <c r="I63" s="7">
        <v>1.49</v>
      </c>
      <c r="J63" s="5">
        <f t="shared" si="2"/>
        <v>676.16399999999999</v>
      </c>
    </row>
    <row r="64" spans="1:10" x14ac:dyDescent="0.35">
      <c r="A64" s="3" t="s">
        <v>296</v>
      </c>
      <c r="B64" s="6">
        <v>43653</v>
      </c>
      <c r="C64" s="10" t="s">
        <v>588</v>
      </c>
      <c r="D64" s="3" t="s">
        <v>19</v>
      </c>
      <c r="E64" s="4">
        <v>9.11</v>
      </c>
      <c r="F64" s="3">
        <v>21</v>
      </c>
      <c r="G64" s="3">
        <f t="shared" si="0"/>
        <v>191.31</v>
      </c>
      <c r="H64" s="3">
        <f t="shared" si="1"/>
        <v>9.5655000000000001</v>
      </c>
      <c r="I64" s="7">
        <v>2.25</v>
      </c>
      <c r="J64" s="5">
        <f t="shared" si="2"/>
        <v>179.49450000000002</v>
      </c>
    </row>
    <row r="65" spans="1:10" x14ac:dyDescent="0.35">
      <c r="A65" s="3" t="s">
        <v>298</v>
      </c>
      <c r="B65" s="6">
        <v>43651</v>
      </c>
      <c r="C65" s="10" t="s">
        <v>588</v>
      </c>
      <c r="D65" s="3" t="s">
        <v>19</v>
      </c>
      <c r="E65" s="4">
        <v>1.88</v>
      </c>
      <c r="F65" s="3">
        <v>1</v>
      </c>
      <c r="G65" s="3">
        <f t="shared" si="0"/>
        <v>1.88</v>
      </c>
      <c r="H65" s="3">
        <f t="shared" si="1"/>
        <v>9.4E-2</v>
      </c>
      <c r="I65" s="7">
        <v>1.49</v>
      </c>
      <c r="J65" s="5">
        <f t="shared" si="2"/>
        <v>0.29599999999999982</v>
      </c>
    </row>
    <row r="66" spans="1:10" x14ac:dyDescent="0.35">
      <c r="A66" s="3" t="s">
        <v>300</v>
      </c>
      <c r="B66" s="6">
        <v>43649</v>
      </c>
      <c r="C66" s="10" t="s">
        <v>588</v>
      </c>
      <c r="D66" s="3" t="s">
        <v>19</v>
      </c>
      <c r="E66" s="4">
        <v>599.99</v>
      </c>
      <c r="F66" s="3">
        <v>17</v>
      </c>
      <c r="G66" s="3">
        <f t="shared" si="0"/>
        <v>10199.83</v>
      </c>
      <c r="H66" s="3">
        <f t="shared" si="1"/>
        <v>509.99150000000003</v>
      </c>
      <c r="I66" s="7">
        <v>24.49</v>
      </c>
      <c r="J66" s="5">
        <f t="shared" si="2"/>
        <v>9665.3485000000001</v>
      </c>
    </row>
    <row r="67" spans="1:10" x14ac:dyDescent="0.35">
      <c r="A67" s="3" t="s">
        <v>324</v>
      </c>
      <c r="B67" s="6">
        <v>43625</v>
      </c>
      <c r="C67" s="10" t="s">
        <v>588</v>
      </c>
      <c r="D67" s="3" t="s">
        <v>19</v>
      </c>
      <c r="E67" s="4">
        <v>10.89</v>
      </c>
      <c r="F67" s="3">
        <v>10</v>
      </c>
      <c r="G67" s="3">
        <f t="shared" ref="G67:G130" si="3">E67*F67</f>
        <v>108.9</v>
      </c>
      <c r="H67" s="3">
        <f t="shared" ref="H67:H130" si="4">G67*5%</f>
        <v>5.4450000000000003</v>
      </c>
      <c r="I67" s="7">
        <v>4.5</v>
      </c>
      <c r="J67" s="5">
        <f t="shared" ref="J67:J130" si="5">G67-H67-I67</f>
        <v>98.955000000000013</v>
      </c>
    </row>
    <row r="68" spans="1:10" x14ac:dyDescent="0.35">
      <c r="A68" s="3" t="s">
        <v>326</v>
      </c>
      <c r="B68" s="6">
        <v>43623</v>
      </c>
      <c r="C68" s="10" t="s">
        <v>588</v>
      </c>
      <c r="D68" s="3" t="s">
        <v>19</v>
      </c>
      <c r="E68" s="4">
        <v>6.08</v>
      </c>
      <c r="F68" s="3">
        <v>41</v>
      </c>
      <c r="G68" s="3">
        <f t="shared" si="3"/>
        <v>249.28</v>
      </c>
      <c r="H68" s="3">
        <f t="shared" si="4"/>
        <v>12.464</v>
      </c>
      <c r="I68" s="7">
        <v>1.82</v>
      </c>
      <c r="J68" s="5">
        <f t="shared" si="5"/>
        <v>234.99600000000001</v>
      </c>
    </row>
    <row r="69" spans="1:10" x14ac:dyDescent="0.35">
      <c r="A69" s="3" t="s">
        <v>328</v>
      </c>
      <c r="B69" s="6">
        <v>43621</v>
      </c>
      <c r="C69" s="10" t="s">
        <v>588</v>
      </c>
      <c r="D69" s="3" t="s">
        <v>19</v>
      </c>
      <c r="E69" s="4">
        <v>2.61</v>
      </c>
      <c r="F69" s="3">
        <v>40</v>
      </c>
      <c r="G69" s="3">
        <f t="shared" si="3"/>
        <v>104.39999999999999</v>
      </c>
      <c r="H69" s="3">
        <f t="shared" si="4"/>
        <v>5.22</v>
      </c>
      <c r="I69" s="7">
        <v>0.5</v>
      </c>
      <c r="J69" s="5">
        <f t="shared" si="5"/>
        <v>98.679999999999993</v>
      </c>
    </row>
    <row r="70" spans="1:10" x14ac:dyDescent="0.35">
      <c r="A70" s="3" t="s">
        <v>330</v>
      </c>
      <c r="B70" s="6">
        <v>43619</v>
      </c>
      <c r="C70" s="10" t="s">
        <v>588</v>
      </c>
      <c r="D70" s="3" t="s">
        <v>19</v>
      </c>
      <c r="E70" s="4">
        <v>9.3800000000000008</v>
      </c>
      <c r="F70" s="3">
        <v>24</v>
      </c>
      <c r="G70" s="3">
        <f t="shared" si="3"/>
        <v>225.12</v>
      </c>
      <c r="H70" s="3">
        <f t="shared" si="4"/>
        <v>11.256</v>
      </c>
      <c r="I70" s="7">
        <v>7.28</v>
      </c>
      <c r="J70" s="5">
        <f t="shared" si="5"/>
        <v>206.584</v>
      </c>
    </row>
    <row r="71" spans="1:10" x14ac:dyDescent="0.35">
      <c r="A71" s="3" t="s">
        <v>332</v>
      </c>
      <c r="B71" s="6">
        <v>43617</v>
      </c>
      <c r="C71" s="10" t="s">
        <v>588</v>
      </c>
      <c r="D71" s="3" t="s">
        <v>19</v>
      </c>
      <c r="E71" s="4">
        <v>29.99</v>
      </c>
      <c r="F71" s="3">
        <v>20</v>
      </c>
      <c r="G71" s="3">
        <f t="shared" si="3"/>
        <v>599.79999999999995</v>
      </c>
      <c r="H71" s="3">
        <f t="shared" si="4"/>
        <v>29.99</v>
      </c>
      <c r="I71" s="7">
        <v>5.5</v>
      </c>
      <c r="J71" s="5">
        <f t="shared" si="5"/>
        <v>564.30999999999995</v>
      </c>
    </row>
    <row r="72" spans="1:10" x14ac:dyDescent="0.35">
      <c r="A72" s="3" t="s">
        <v>334</v>
      </c>
      <c r="B72" s="6">
        <v>43615</v>
      </c>
      <c r="C72" s="10" t="s">
        <v>588</v>
      </c>
      <c r="D72" s="3" t="s">
        <v>19</v>
      </c>
      <c r="E72" s="4">
        <v>4.26</v>
      </c>
      <c r="F72" s="3">
        <v>47</v>
      </c>
      <c r="G72" s="3">
        <f t="shared" si="3"/>
        <v>200.22</v>
      </c>
      <c r="H72" s="3">
        <f t="shared" si="4"/>
        <v>10.011000000000001</v>
      </c>
      <c r="I72" s="7">
        <v>1.2</v>
      </c>
      <c r="J72" s="5">
        <f t="shared" si="5"/>
        <v>189.00900000000001</v>
      </c>
    </row>
    <row r="73" spans="1:10" x14ac:dyDescent="0.35">
      <c r="A73" s="3" t="s">
        <v>336</v>
      </c>
      <c r="B73" s="6">
        <v>43613</v>
      </c>
      <c r="C73" s="10" t="s">
        <v>588</v>
      </c>
      <c r="D73" s="3" t="s">
        <v>19</v>
      </c>
      <c r="E73" s="4">
        <v>415.88</v>
      </c>
      <c r="F73" s="3">
        <v>21</v>
      </c>
      <c r="G73" s="3">
        <f t="shared" si="3"/>
        <v>8733.48</v>
      </c>
      <c r="H73" s="3">
        <f t="shared" si="4"/>
        <v>436.67399999999998</v>
      </c>
      <c r="I73" s="7">
        <v>11.37</v>
      </c>
      <c r="J73" s="5">
        <f t="shared" si="5"/>
        <v>8285.4359999999997</v>
      </c>
    </row>
    <row r="74" spans="1:10" x14ac:dyDescent="0.35">
      <c r="A74" s="3" t="s">
        <v>338</v>
      </c>
      <c r="B74" s="6">
        <v>43611</v>
      </c>
      <c r="C74" s="10" t="s">
        <v>588</v>
      </c>
      <c r="D74" s="3" t="s">
        <v>19</v>
      </c>
      <c r="E74" s="4">
        <v>12.99</v>
      </c>
      <c r="F74" s="3">
        <v>46</v>
      </c>
      <c r="G74" s="3">
        <f t="shared" si="3"/>
        <v>597.54</v>
      </c>
      <c r="H74" s="3">
        <f t="shared" si="4"/>
        <v>29.876999999999999</v>
      </c>
      <c r="I74" s="7">
        <v>9.44</v>
      </c>
      <c r="J74" s="5">
        <f t="shared" si="5"/>
        <v>558.22299999999996</v>
      </c>
    </row>
    <row r="75" spans="1:10" x14ac:dyDescent="0.35">
      <c r="A75" s="3" t="s">
        <v>340</v>
      </c>
      <c r="B75" s="6">
        <v>43609</v>
      </c>
      <c r="C75" s="10" t="s">
        <v>588</v>
      </c>
      <c r="D75" s="3" t="s">
        <v>19</v>
      </c>
      <c r="E75" s="4">
        <v>3.69</v>
      </c>
      <c r="F75" s="3">
        <v>47</v>
      </c>
      <c r="G75" s="3">
        <f t="shared" si="3"/>
        <v>173.43</v>
      </c>
      <c r="H75" s="3">
        <f t="shared" si="4"/>
        <v>8.6715</v>
      </c>
      <c r="I75" s="7">
        <v>2.5</v>
      </c>
      <c r="J75" s="5">
        <f t="shared" si="5"/>
        <v>162.2585</v>
      </c>
    </row>
    <row r="76" spans="1:10" x14ac:dyDescent="0.35">
      <c r="A76" s="3" t="s">
        <v>342</v>
      </c>
      <c r="B76" s="6">
        <v>43607</v>
      </c>
      <c r="C76" s="10" t="s">
        <v>588</v>
      </c>
      <c r="D76" s="3" t="s">
        <v>19</v>
      </c>
      <c r="E76" s="4">
        <v>1.88</v>
      </c>
      <c r="F76" s="3">
        <v>6</v>
      </c>
      <c r="G76" s="3">
        <f t="shared" si="3"/>
        <v>11.28</v>
      </c>
      <c r="H76" s="3">
        <f t="shared" si="4"/>
        <v>0.56399999999999995</v>
      </c>
      <c r="I76" s="7">
        <v>1.49</v>
      </c>
      <c r="J76" s="5">
        <f t="shared" si="5"/>
        <v>9.2259999999999991</v>
      </c>
    </row>
    <row r="77" spans="1:10" x14ac:dyDescent="0.35">
      <c r="A77" s="3" t="s">
        <v>344</v>
      </c>
      <c r="B77" s="6">
        <v>43605</v>
      </c>
      <c r="C77" s="10" t="s">
        <v>588</v>
      </c>
      <c r="D77" s="3" t="s">
        <v>19</v>
      </c>
      <c r="E77" s="4">
        <v>2.4700000000000002</v>
      </c>
      <c r="F77" s="3">
        <v>45</v>
      </c>
      <c r="G77" s="3">
        <f t="shared" si="3"/>
        <v>111.15</v>
      </c>
      <c r="H77" s="3">
        <f t="shared" si="4"/>
        <v>5.557500000000001</v>
      </c>
      <c r="I77" s="7">
        <v>1.02</v>
      </c>
      <c r="J77" s="5">
        <f t="shared" si="5"/>
        <v>104.57250000000001</v>
      </c>
    </row>
    <row r="78" spans="1:10" x14ac:dyDescent="0.35">
      <c r="A78" s="3" t="s">
        <v>346</v>
      </c>
      <c r="B78" s="6">
        <v>43603</v>
      </c>
      <c r="C78" s="10" t="s">
        <v>588</v>
      </c>
      <c r="D78" s="3" t="s">
        <v>19</v>
      </c>
      <c r="E78" s="4">
        <v>5.4</v>
      </c>
      <c r="F78" s="3">
        <v>8</v>
      </c>
      <c r="G78" s="3">
        <f t="shared" si="3"/>
        <v>43.2</v>
      </c>
      <c r="H78" s="3">
        <f t="shared" si="4"/>
        <v>2.16</v>
      </c>
      <c r="I78" s="7">
        <v>7.78</v>
      </c>
      <c r="J78" s="5">
        <f t="shared" si="5"/>
        <v>33.260000000000005</v>
      </c>
    </row>
    <row r="79" spans="1:10" x14ac:dyDescent="0.35">
      <c r="A79" s="3" t="s">
        <v>347</v>
      </c>
      <c r="B79" s="6">
        <v>43601</v>
      </c>
      <c r="C79" s="10" t="s">
        <v>588</v>
      </c>
      <c r="D79" s="3" t="s">
        <v>19</v>
      </c>
      <c r="E79" s="4">
        <v>1.88</v>
      </c>
      <c r="F79" s="3">
        <v>29</v>
      </c>
      <c r="G79" s="3">
        <f t="shared" si="3"/>
        <v>54.519999999999996</v>
      </c>
      <c r="H79" s="3">
        <f t="shared" si="4"/>
        <v>2.726</v>
      </c>
      <c r="I79" s="7">
        <v>1.49</v>
      </c>
      <c r="J79" s="5">
        <f t="shared" si="5"/>
        <v>50.303999999999995</v>
      </c>
    </row>
    <row r="80" spans="1:10" x14ac:dyDescent="0.35">
      <c r="A80" s="3" t="s">
        <v>348</v>
      </c>
      <c r="B80" s="6">
        <v>43599</v>
      </c>
      <c r="C80" s="10" t="s">
        <v>588</v>
      </c>
      <c r="D80" s="3" t="s">
        <v>19</v>
      </c>
      <c r="E80" s="4">
        <v>1.95</v>
      </c>
      <c r="F80" s="3">
        <v>4</v>
      </c>
      <c r="G80" s="3">
        <f t="shared" si="3"/>
        <v>7.8</v>
      </c>
      <c r="H80" s="3">
        <f t="shared" si="4"/>
        <v>0.39</v>
      </c>
      <c r="I80" s="7">
        <v>1.63</v>
      </c>
      <c r="J80" s="5">
        <f t="shared" si="5"/>
        <v>5.78</v>
      </c>
    </row>
    <row r="81" spans="1:10" x14ac:dyDescent="0.35">
      <c r="A81" s="3" t="s">
        <v>349</v>
      </c>
      <c r="B81" s="6">
        <v>43597</v>
      </c>
      <c r="C81" s="10" t="s">
        <v>588</v>
      </c>
      <c r="D81" s="3" t="s">
        <v>19</v>
      </c>
      <c r="E81" s="4">
        <v>7.08</v>
      </c>
      <c r="F81" s="3">
        <v>37</v>
      </c>
      <c r="G81" s="3">
        <f t="shared" si="3"/>
        <v>261.95999999999998</v>
      </c>
      <c r="H81" s="3">
        <f t="shared" si="4"/>
        <v>13.097999999999999</v>
      </c>
      <c r="I81" s="7">
        <v>2.35</v>
      </c>
      <c r="J81" s="5">
        <f t="shared" si="5"/>
        <v>246.51199999999997</v>
      </c>
    </row>
    <row r="82" spans="1:10" x14ac:dyDescent="0.35">
      <c r="A82" s="3" t="s">
        <v>350</v>
      </c>
      <c r="B82" s="6">
        <v>43595</v>
      </c>
      <c r="C82" s="10" t="s">
        <v>588</v>
      </c>
      <c r="D82" s="3" t="s">
        <v>19</v>
      </c>
      <c r="E82" s="4">
        <v>19.98</v>
      </c>
      <c r="F82" s="3">
        <v>34</v>
      </c>
      <c r="G82" s="3">
        <f t="shared" si="3"/>
        <v>679.32</v>
      </c>
      <c r="H82" s="3">
        <f t="shared" si="4"/>
        <v>33.966000000000001</v>
      </c>
      <c r="I82" s="7">
        <v>5.77</v>
      </c>
      <c r="J82" s="5">
        <f t="shared" si="5"/>
        <v>639.58400000000006</v>
      </c>
    </row>
    <row r="83" spans="1:10" x14ac:dyDescent="0.35">
      <c r="A83" s="3" t="s">
        <v>351</v>
      </c>
      <c r="B83" s="6">
        <v>43593</v>
      </c>
      <c r="C83" s="10" t="s">
        <v>588</v>
      </c>
      <c r="D83" s="3" t="s">
        <v>19</v>
      </c>
      <c r="E83" s="4">
        <v>20.98</v>
      </c>
      <c r="F83" s="3">
        <v>10</v>
      </c>
      <c r="G83" s="3">
        <f t="shared" si="3"/>
        <v>209.8</v>
      </c>
      <c r="H83" s="3">
        <f t="shared" si="4"/>
        <v>10.490000000000002</v>
      </c>
      <c r="I83" s="7">
        <v>1.49</v>
      </c>
      <c r="J83" s="5">
        <f t="shared" si="5"/>
        <v>197.82</v>
      </c>
    </row>
    <row r="84" spans="1:10" x14ac:dyDescent="0.35">
      <c r="A84" s="3" t="s">
        <v>352</v>
      </c>
      <c r="B84" s="6">
        <v>43591</v>
      </c>
      <c r="C84" s="10" t="s">
        <v>588</v>
      </c>
      <c r="D84" s="3" t="s">
        <v>19</v>
      </c>
      <c r="E84" s="4">
        <v>2.98</v>
      </c>
      <c r="F84" s="3">
        <v>3</v>
      </c>
      <c r="G84" s="3">
        <f t="shared" si="3"/>
        <v>8.94</v>
      </c>
      <c r="H84" s="3">
        <f t="shared" si="4"/>
        <v>0.44700000000000001</v>
      </c>
      <c r="I84" s="7">
        <v>1.58</v>
      </c>
      <c r="J84" s="5">
        <f t="shared" si="5"/>
        <v>6.9130000000000003</v>
      </c>
    </row>
    <row r="85" spans="1:10" x14ac:dyDescent="0.35">
      <c r="A85" s="3" t="s">
        <v>353</v>
      </c>
      <c r="B85" s="6">
        <v>43589</v>
      </c>
      <c r="C85" s="10" t="s">
        <v>588</v>
      </c>
      <c r="D85" s="3" t="s">
        <v>19</v>
      </c>
      <c r="E85" s="4">
        <v>1.48</v>
      </c>
      <c r="F85" s="3">
        <v>1</v>
      </c>
      <c r="G85" s="3">
        <f t="shared" si="3"/>
        <v>1.48</v>
      </c>
      <c r="H85" s="3">
        <f t="shared" si="4"/>
        <v>7.3999999999999996E-2</v>
      </c>
      <c r="I85" s="7">
        <v>0.7</v>
      </c>
      <c r="J85" s="5">
        <f t="shared" si="5"/>
        <v>0.70599999999999996</v>
      </c>
    </row>
    <row r="86" spans="1:10" x14ac:dyDescent="0.35">
      <c r="A86" s="3" t="s">
        <v>354</v>
      </c>
      <c r="B86" s="6">
        <v>43587</v>
      </c>
      <c r="C86" s="10" t="s">
        <v>588</v>
      </c>
      <c r="D86" s="3" t="s">
        <v>19</v>
      </c>
      <c r="E86" s="4">
        <v>2.94</v>
      </c>
      <c r="F86" s="3">
        <v>47</v>
      </c>
      <c r="G86" s="3">
        <f t="shared" si="3"/>
        <v>138.18</v>
      </c>
      <c r="H86" s="3">
        <f t="shared" si="4"/>
        <v>6.9090000000000007</v>
      </c>
      <c r="I86" s="7">
        <v>0.81</v>
      </c>
      <c r="J86" s="5">
        <f t="shared" si="5"/>
        <v>130.46100000000001</v>
      </c>
    </row>
    <row r="87" spans="1:10" x14ac:dyDescent="0.35">
      <c r="A87" s="3" t="s">
        <v>355</v>
      </c>
      <c r="B87" s="6">
        <v>43585</v>
      </c>
      <c r="C87" s="10" t="s">
        <v>588</v>
      </c>
      <c r="D87" s="3" t="s">
        <v>19</v>
      </c>
      <c r="E87" s="4">
        <v>5.18</v>
      </c>
      <c r="F87" s="3">
        <v>20</v>
      </c>
      <c r="G87" s="3">
        <f t="shared" si="3"/>
        <v>103.6</v>
      </c>
      <c r="H87" s="3">
        <f t="shared" si="4"/>
        <v>5.18</v>
      </c>
      <c r="I87" s="7">
        <v>2.04</v>
      </c>
      <c r="J87" s="5">
        <f t="shared" si="5"/>
        <v>96.379999999999981</v>
      </c>
    </row>
    <row r="88" spans="1:10" x14ac:dyDescent="0.35">
      <c r="A88" s="3" t="s">
        <v>356</v>
      </c>
      <c r="B88" s="6">
        <v>43583</v>
      </c>
      <c r="C88" s="10" t="s">
        <v>588</v>
      </c>
      <c r="D88" s="3" t="s">
        <v>19</v>
      </c>
      <c r="E88" s="4">
        <v>11.97</v>
      </c>
      <c r="F88" s="3">
        <v>48</v>
      </c>
      <c r="G88" s="3">
        <f t="shared" si="3"/>
        <v>574.56000000000006</v>
      </c>
      <c r="H88" s="3">
        <f t="shared" si="4"/>
        <v>28.728000000000005</v>
      </c>
      <c r="I88" s="7">
        <v>5.81</v>
      </c>
      <c r="J88" s="5">
        <f t="shared" si="5"/>
        <v>540.02200000000016</v>
      </c>
    </row>
    <row r="89" spans="1:10" x14ac:dyDescent="0.35">
      <c r="A89" s="3" t="s">
        <v>357</v>
      </c>
      <c r="B89" s="6">
        <v>43581</v>
      </c>
      <c r="C89" s="10" t="s">
        <v>588</v>
      </c>
      <c r="D89" s="3" t="s">
        <v>19</v>
      </c>
      <c r="E89" s="4">
        <v>6.3</v>
      </c>
      <c r="F89" s="3">
        <v>40</v>
      </c>
      <c r="G89" s="3">
        <f t="shared" si="3"/>
        <v>252</v>
      </c>
      <c r="H89" s="3">
        <f t="shared" si="4"/>
        <v>12.600000000000001</v>
      </c>
      <c r="I89" s="7">
        <v>0.5</v>
      </c>
      <c r="J89" s="5">
        <f t="shared" si="5"/>
        <v>238.9</v>
      </c>
    </row>
    <row r="90" spans="1:10" x14ac:dyDescent="0.35">
      <c r="A90" s="3" t="s">
        <v>358</v>
      </c>
      <c r="B90" s="6">
        <v>43579</v>
      </c>
      <c r="C90" s="10" t="s">
        <v>588</v>
      </c>
      <c r="D90" s="3" t="s">
        <v>19</v>
      </c>
      <c r="E90" s="4">
        <v>10.89</v>
      </c>
      <c r="F90" s="3">
        <v>3</v>
      </c>
      <c r="G90" s="3">
        <f t="shared" si="3"/>
        <v>32.67</v>
      </c>
      <c r="H90" s="3">
        <f t="shared" si="4"/>
        <v>1.6335000000000002</v>
      </c>
      <c r="I90" s="7">
        <v>4.5</v>
      </c>
      <c r="J90" s="5">
        <f t="shared" si="5"/>
        <v>26.5365</v>
      </c>
    </row>
    <row r="91" spans="1:10" x14ac:dyDescent="0.35">
      <c r="A91" s="3" t="s">
        <v>359</v>
      </c>
      <c r="B91" s="6">
        <v>43578</v>
      </c>
      <c r="C91" s="10" t="s">
        <v>588</v>
      </c>
      <c r="D91" s="3" t="s">
        <v>19</v>
      </c>
      <c r="E91" s="4">
        <v>100.98</v>
      </c>
      <c r="F91" s="3">
        <v>9</v>
      </c>
      <c r="G91" s="3">
        <f t="shared" si="3"/>
        <v>908.82</v>
      </c>
      <c r="H91" s="3">
        <f t="shared" si="4"/>
        <v>45.441000000000003</v>
      </c>
      <c r="I91" s="7">
        <v>7.18</v>
      </c>
      <c r="J91" s="5">
        <f t="shared" si="5"/>
        <v>856.19900000000007</v>
      </c>
    </row>
    <row r="92" spans="1:10" x14ac:dyDescent="0.35">
      <c r="A92" s="3" t="s">
        <v>360</v>
      </c>
      <c r="B92" s="6">
        <v>43577</v>
      </c>
      <c r="C92" s="10" t="s">
        <v>588</v>
      </c>
      <c r="D92" s="3" t="s">
        <v>19</v>
      </c>
      <c r="E92" s="4">
        <v>300.97000000000003</v>
      </c>
      <c r="F92" s="3">
        <v>20</v>
      </c>
      <c r="G92" s="3">
        <f t="shared" si="3"/>
        <v>6019.4000000000005</v>
      </c>
      <c r="H92" s="3">
        <f t="shared" si="4"/>
        <v>300.97000000000003</v>
      </c>
      <c r="I92" s="7">
        <v>7.18</v>
      </c>
      <c r="J92" s="5">
        <f t="shared" si="5"/>
        <v>5711.25</v>
      </c>
    </row>
    <row r="93" spans="1:10" x14ac:dyDescent="0.35">
      <c r="A93" s="3" t="s">
        <v>361</v>
      </c>
      <c r="B93" s="6">
        <v>43576</v>
      </c>
      <c r="C93" s="10" t="s">
        <v>588</v>
      </c>
      <c r="D93" s="3" t="s">
        <v>19</v>
      </c>
      <c r="E93" s="4">
        <v>5.4</v>
      </c>
      <c r="F93" s="3">
        <v>14</v>
      </c>
      <c r="G93" s="3">
        <f t="shared" si="3"/>
        <v>75.600000000000009</v>
      </c>
      <c r="H93" s="3">
        <f t="shared" si="4"/>
        <v>3.7800000000000007</v>
      </c>
      <c r="I93" s="7">
        <v>7.78</v>
      </c>
      <c r="J93" s="5">
        <f t="shared" si="5"/>
        <v>64.040000000000006</v>
      </c>
    </row>
    <row r="94" spans="1:10" x14ac:dyDescent="0.35">
      <c r="A94" s="3" t="s">
        <v>362</v>
      </c>
      <c r="B94" s="6">
        <v>43575</v>
      </c>
      <c r="C94" s="10" t="s">
        <v>588</v>
      </c>
      <c r="D94" s="3" t="s">
        <v>19</v>
      </c>
      <c r="E94" s="4">
        <v>10.89</v>
      </c>
      <c r="F94" s="3">
        <v>50</v>
      </c>
      <c r="G94" s="3">
        <f t="shared" si="3"/>
        <v>544.5</v>
      </c>
      <c r="H94" s="3">
        <f t="shared" si="4"/>
        <v>27.225000000000001</v>
      </c>
      <c r="I94" s="7">
        <v>4.5</v>
      </c>
      <c r="J94" s="5">
        <f t="shared" si="5"/>
        <v>512.77499999999998</v>
      </c>
    </row>
    <row r="95" spans="1:10" x14ac:dyDescent="0.35">
      <c r="A95" s="3" t="s">
        <v>363</v>
      </c>
      <c r="B95" s="6">
        <v>43574</v>
      </c>
      <c r="C95" s="10" t="s">
        <v>588</v>
      </c>
      <c r="D95" s="3" t="s">
        <v>19</v>
      </c>
      <c r="E95" s="4">
        <v>95.99</v>
      </c>
      <c r="F95" s="3">
        <v>26</v>
      </c>
      <c r="G95" s="3">
        <f t="shared" si="3"/>
        <v>2495.7399999999998</v>
      </c>
      <c r="H95" s="3">
        <f t="shared" si="4"/>
        <v>124.78699999999999</v>
      </c>
      <c r="I95" s="7">
        <v>8.99</v>
      </c>
      <c r="J95" s="5">
        <f t="shared" si="5"/>
        <v>2361.9630000000002</v>
      </c>
    </row>
    <row r="96" spans="1:10" x14ac:dyDescent="0.35">
      <c r="A96" s="3" t="s">
        <v>364</v>
      </c>
      <c r="B96" s="6">
        <v>43573</v>
      </c>
      <c r="C96" s="10" t="s">
        <v>588</v>
      </c>
      <c r="D96" s="3" t="s">
        <v>9</v>
      </c>
      <c r="E96" s="4">
        <v>3.08</v>
      </c>
      <c r="F96" s="3">
        <v>6</v>
      </c>
      <c r="G96" s="3">
        <f t="shared" si="3"/>
        <v>18.48</v>
      </c>
      <c r="H96" s="3">
        <f t="shared" si="4"/>
        <v>0.92400000000000004</v>
      </c>
      <c r="I96" s="7">
        <v>0.99</v>
      </c>
      <c r="J96" s="5">
        <f t="shared" si="5"/>
        <v>16.566000000000003</v>
      </c>
    </row>
    <row r="97" spans="1:10" x14ac:dyDescent="0.35">
      <c r="A97" s="3" t="s">
        <v>365</v>
      </c>
      <c r="B97" s="6">
        <v>43572</v>
      </c>
      <c r="C97" s="10" t="s">
        <v>588</v>
      </c>
      <c r="D97" s="3" t="s">
        <v>27</v>
      </c>
      <c r="E97" s="4">
        <v>12.98</v>
      </c>
      <c r="F97" s="3">
        <v>42</v>
      </c>
      <c r="G97" s="3">
        <f t="shared" si="3"/>
        <v>545.16</v>
      </c>
      <c r="H97" s="3">
        <f t="shared" si="4"/>
        <v>27.257999999999999</v>
      </c>
      <c r="I97" s="7">
        <v>3.14</v>
      </c>
      <c r="J97" s="5">
        <f t="shared" si="5"/>
        <v>514.76199999999994</v>
      </c>
    </row>
    <row r="98" spans="1:10" x14ac:dyDescent="0.35">
      <c r="A98" s="3" t="s">
        <v>366</v>
      </c>
      <c r="B98" s="6">
        <v>43571</v>
      </c>
      <c r="C98" s="10" t="s">
        <v>588</v>
      </c>
      <c r="D98" s="3" t="s">
        <v>9</v>
      </c>
      <c r="E98" s="4">
        <v>83.93</v>
      </c>
      <c r="F98" s="3">
        <v>3</v>
      </c>
      <c r="G98" s="3">
        <f t="shared" si="3"/>
        <v>251.79000000000002</v>
      </c>
      <c r="H98" s="3">
        <f t="shared" si="4"/>
        <v>12.589500000000001</v>
      </c>
      <c r="I98" s="7">
        <v>19.989999999999998</v>
      </c>
      <c r="J98" s="5">
        <f t="shared" si="5"/>
        <v>219.21050000000002</v>
      </c>
    </row>
    <row r="99" spans="1:10" x14ac:dyDescent="0.35">
      <c r="A99" s="3" t="s">
        <v>367</v>
      </c>
      <c r="B99" s="6">
        <v>43570</v>
      </c>
      <c r="C99" s="10" t="s">
        <v>588</v>
      </c>
      <c r="D99" s="3" t="s">
        <v>9</v>
      </c>
      <c r="E99" s="4">
        <v>3.69</v>
      </c>
      <c r="F99" s="3">
        <v>39</v>
      </c>
      <c r="G99" s="3">
        <f t="shared" si="3"/>
        <v>143.91</v>
      </c>
      <c r="H99" s="3">
        <f t="shared" si="4"/>
        <v>7.1955</v>
      </c>
      <c r="I99" s="7">
        <v>0.5</v>
      </c>
      <c r="J99" s="5">
        <f t="shared" si="5"/>
        <v>136.21449999999999</v>
      </c>
    </row>
    <row r="100" spans="1:10" x14ac:dyDescent="0.35">
      <c r="A100" s="3" t="s">
        <v>368</v>
      </c>
      <c r="B100" s="6">
        <v>43569</v>
      </c>
      <c r="C100" s="10" t="s">
        <v>588</v>
      </c>
      <c r="D100" s="3" t="s">
        <v>27</v>
      </c>
      <c r="E100" s="4">
        <v>210.55</v>
      </c>
      <c r="F100" s="3">
        <v>2</v>
      </c>
      <c r="G100" s="3">
        <f t="shared" si="3"/>
        <v>421.1</v>
      </c>
      <c r="H100" s="3">
        <f t="shared" si="4"/>
        <v>21.055000000000003</v>
      </c>
      <c r="I100" s="7">
        <v>9.99</v>
      </c>
      <c r="J100" s="5">
        <f t="shared" si="5"/>
        <v>390.05500000000001</v>
      </c>
    </row>
    <row r="101" spans="1:10" x14ac:dyDescent="0.35">
      <c r="A101" s="3" t="s">
        <v>369</v>
      </c>
      <c r="B101" s="6">
        <v>43568</v>
      </c>
      <c r="C101" s="10" t="s">
        <v>588</v>
      </c>
      <c r="D101" s="3" t="s">
        <v>9</v>
      </c>
      <c r="E101" s="4">
        <v>1.82</v>
      </c>
      <c r="F101" s="3">
        <v>42</v>
      </c>
      <c r="G101" s="3">
        <f t="shared" si="3"/>
        <v>76.44</v>
      </c>
      <c r="H101" s="3">
        <f t="shared" si="4"/>
        <v>3.8220000000000001</v>
      </c>
      <c r="I101" s="7">
        <v>1</v>
      </c>
      <c r="J101" s="5">
        <f t="shared" si="5"/>
        <v>71.617999999999995</v>
      </c>
    </row>
    <row r="102" spans="1:10" x14ac:dyDescent="0.35">
      <c r="A102" s="3" t="s">
        <v>370</v>
      </c>
      <c r="B102" s="6">
        <v>43567</v>
      </c>
      <c r="C102" s="10" t="s">
        <v>588</v>
      </c>
      <c r="D102" s="3" t="s">
        <v>9</v>
      </c>
      <c r="E102" s="4">
        <v>40.97</v>
      </c>
      <c r="F102" s="3">
        <v>28</v>
      </c>
      <c r="G102" s="3">
        <f t="shared" si="3"/>
        <v>1147.1599999999999</v>
      </c>
      <c r="H102" s="3">
        <f t="shared" si="4"/>
        <v>57.357999999999997</v>
      </c>
      <c r="I102" s="7">
        <v>8.99</v>
      </c>
      <c r="J102" s="5">
        <f t="shared" si="5"/>
        <v>1080.8119999999999</v>
      </c>
    </row>
    <row r="103" spans="1:10" x14ac:dyDescent="0.35">
      <c r="A103" s="3" t="s">
        <v>371</v>
      </c>
      <c r="B103" s="6">
        <v>43566</v>
      </c>
      <c r="C103" s="10" t="s">
        <v>588</v>
      </c>
      <c r="D103" s="3" t="s">
        <v>27</v>
      </c>
      <c r="E103" s="4">
        <v>8.6199999999999992</v>
      </c>
      <c r="F103" s="3">
        <v>8</v>
      </c>
      <c r="G103" s="3">
        <f t="shared" si="3"/>
        <v>68.959999999999994</v>
      </c>
      <c r="H103" s="3">
        <f t="shared" si="4"/>
        <v>3.448</v>
      </c>
      <c r="I103" s="7">
        <v>4.5</v>
      </c>
      <c r="J103" s="5">
        <f t="shared" si="5"/>
        <v>61.012</v>
      </c>
    </row>
    <row r="104" spans="1:10" x14ac:dyDescent="0.35">
      <c r="A104" s="3" t="s">
        <v>372</v>
      </c>
      <c r="B104" s="6">
        <v>43565</v>
      </c>
      <c r="C104" s="10" t="s">
        <v>588</v>
      </c>
      <c r="D104" s="3" t="s">
        <v>9</v>
      </c>
      <c r="E104" s="4">
        <v>15.98</v>
      </c>
      <c r="F104" s="3">
        <v>6</v>
      </c>
      <c r="G104" s="3">
        <f t="shared" si="3"/>
        <v>95.88</v>
      </c>
      <c r="H104" s="3">
        <f t="shared" si="4"/>
        <v>4.7939999999999996</v>
      </c>
      <c r="I104" s="7">
        <v>4</v>
      </c>
      <c r="J104" s="5">
        <f t="shared" si="5"/>
        <v>87.085999999999999</v>
      </c>
    </row>
    <row r="105" spans="1:10" x14ac:dyDescent="0.35">
      <c r="A105" s="3" t="s">
        <v>373</v>
      </c>
      <c r="B105" s="6">
        <v>43564</v>
      </c>
      <c r="C105" s="10" t="s">
        <v>588</v>
      </c>
      <c r="D105" s="3" t="s">
        <v>9</v>
      </c>
      <c r="E105" s="4">
        <v>3.52</v>
      </c>
      <c r="F105" s="3">
        <v>38</v>
      </c>
      <c r="G105" s="3">
        <f t="shared" si="3"/>
        <v>133.76</v>
      </c>
      <c r="H105" s="3">
        <f t="shared" si="4"/>
        <v>6.6879999999999997</v>
      </c>
      <c r="I105" s="7">
        <v>6.83</v>
      </c>
      <c r="J105" s="5">
        <f t="shared" si="5"/>
        <v>120.24199999999999</v>
      </c>
    </row>
    <row r="106" spans="1:10" x14ac:dyDescent="0.35">
      <c r="A106" s="3" t="s">
        <v>374</v>
      </c>
      <c r="B106" s="6">
        <v>43563</v>
      </c>
      <c r="C106" s="10" t="s">
        <v>588</v>
      </c>
      <c r="D106" s="3" t="s">
        <v>27</v>
      </c>
      <c r="E106" s="4">
        <v>5.74</v>
      </c>
      <c r="F106" s="3">
        <v>32</v>
      </c>
      <c r="G106" s="3">
        <f t="shared" si="3"/>
        <v>183.68</v>
      </c>
      <c r="H106" s="3">
        <f t="shared" si="4"/>
        <v>9.1840000000000011</v>
      </c>
      <c r="I106" s="7">
        <v>5.01</v>
      </c>
      <c r="J106" s="5">
        <f t="shared" si="5"/>
        <v>169.48600000000002</v>
      </c>
    </row>
    <row r="107" spans="1:10" x14ac:dyDescent="0.35">
      <c r="A107" s="3" t="s">
        <v>375</v>
      </c>
      <c r="B107" s="6">
        <v>43562</v>
      </c>
      <c r="C107" s="10" t="s">
        <v>588</v>
      </c>
      <c r="D107" s="3" t="s">
        <v>9</v>
      </c>
      <c r="E107" s="4">
        <v>7.08</v>
      </c>
      <c r="F107" s="3">
        <v>48</v>
      </c>
      <c r="G107" s="3">
        <f t="shared" si="3"/>
        <v>339.84000000000003</v>
      </c>
      <c r="H107" s="3">
        <f t="shared" si="4"/>
        <v>16.992000000000001</v>
      </c>
      <c r="I107" s="7">
        <v>2.35</v>
      </c>
      <c r="J107" s="5">
        <f t="shared" si="5"/>
        <v>320.49799999999999</v>
      </c>
    </row>
    <row r="108" spans="1:10" x14ac:dyDescent="0.35">
      <c r="A108" s="3" t="s">
        <v>376</v>
      </c>
      <c r="B108" s="6">
        <v>43561</v>
      </c>
      <c r="C108" s="10" t="s">
        <v>588</v>
      </c>
      <c r="D108" s="3" t="s">
        <v>9</v>
      </c>
      <c r="E108" s="4">
        <v>30.98</v>
      </c>
      <c r="F108" s="3">
        <v>8</v>
      </c>
      <c r="G108" s="3">
        <f t="shared" si="3"/>
        <v>247.84</v>
      </c>
      <c r="H108" s="3">
        <f t="shared" si="4"/>
        <v>12.392000000000001</v>
      </c>
      <c r="I108" s="7">
        <v>6.5</v>
      </c>
      <c r="J108" s="5">
        <f t="shared" si="5"/>
        <v>228.94800000000001</v>
      </c>
    </row>
    <row r="109" spans="1:10" x14ac:dyDescent="0.35">
      <c r="A109" s="3" t="s">
        <v>377</v>
      </c>
      <c r="B109" s="6">
        <v>43560</v>
      </c>
      <c r="C109" s="10" t="s">
        <v>588</v>
      </c>
      <c r="D109" s="3" t="s">
        <v>9</v>
      </c>
      <c r="E109" s="4">
        <v>599.99</v>
      </c>
      <c r="F109" s="3">
        <v>46</v>
      </c>
      <c r="G109" s="3">
        <f t="shared" si="3"/>
        <v>27599.54</v>
      </c>
      <c r="H109" s="3">
        <f t="shared" si="4"/>
        <v>1379.9770000000001</v>
      </c>
      <c r="I109" s="7">
        <v>24.49</v>
      </c>
      <c r="J109" s="5">
        <f t="shared" si="5"/>
        <v>26195.073</v>
      </c>
    </row>
    <row r="110" spans="1:10" x14ac:dyDescent="0.35">
      <c r="A110" s="3" t="s">
        <v>378</v>
      </c>
      <c r="B110" s="6">
        <v>43559</v>
      </c>
      <c r="C110" s="10" t="s">
        <v>588</v>
      </c>
      <c r="D110" s="3" t="s">
        <v>9</v>
      </c>
      <c r="E110" s="4">
        <v>2.94</v>
      </c>
      <c r="F110" s="3">
        <v>39</v>
      </c>
      <c r="G110" s="3">
        <f t="shared" si="3"/>
        <v>114.66</v>
      </c>
      <c r="H110" s="3">
        <f t="shared" si="4"/>
        <v>5.7330000000000005</v>
      </c>
      <c r="I110" s="7">
        <v>0.81</v>
      </c>
      <c r="J110" s="5">
        <f t="shared" si="5"/>
        <v>108.11699999999999</v>
      </c>
    </row>
    <row r="111" spans="1:10" x14ac:dyDescent="0.35">
      <c r="A111" s="3" t="s">
        <v>379</v>
      </c>
      <c r="B111" s="6">
        <v>43558</v>
      </c>
      <c r="C111" s="10" t="s">
        <v>588</v>
      </c>
      <c r="D111" s="3" t="s">
        <v>27</v>
      </c>
      <c r="E111" s="4">
        <v>15.98</v>
      </c>
      <c r="F111" s="3">
        <v>7</v>
      </c>
      <c r="G111" s="3">
        <f t="shared" si="3"/>
        <v>111.86</v>
      </c>
      <c r="H111" s="3">
        <f t="shared" si="4"/>
        <v>5.593</v>
      </c>
      <c r="I111" s="7">
        <v>4</v>
      </c>
      <c r="J111" s="5">
        <f t="shared" si="5"/>
        <v>102.267</v>
      </c>
    </row>
    <row r="112" spans="1:10" x14ac:dyDescent="0.35">
      <c r="A112" s="3" t="s">
        <v>13</v>
      </c>
      <c r="B112" s="6">
        <v>43935</v>
      </c>
      <c r="C112" s="10" t="s">
        <v>589</v>
      </c>
      <c r="D112" s="3" t="s">
        <v>9</v>
      </c>
      <c r="E112" s="4">
        <v>20.98</v>
      </c>
      <c r="F112" s="3">
        <v>2</v>
      </c>
      <c r="G112" s="3">
        <f t="shared" si="3"/>
        <v>41.96</v>
      </c>
      <c r="H112" s="3">
        <f t="shared" si="4"/>
        <v>2.0980000000000003</v>
      </c>
      <c r="I112" s="7">
        <v>1.49</v>
      </c>
      <c r="J112" s="5">
        <f t="shared" si="5"/>
        <v>38.372</v>
      </c>
    </row>
    <row r="113" spans="1:10" x14ac:dyDescent="0.35">
      <c r="A113" s="3" t="s">
        <v>52</v>
      </c>
      <c r="B113" s="6">
        <v>43898</v>
      </c>
      <c r="C113" s="10" t="s">
        <v>589</v>
      </c>
      <c r="D113" s="3" t="s">
        <v>9</v>
      </c>
      <c r="E113" s="4">
        <v>4.26</v>
      </c>
      <c r="F113" s="3">
        <v>44</v>
      </c>
      <c r="G113" s="3">
        <f t="shared" si="3"/>
        <v>187.44</v>
      </c>
      <c r="H113" s="3">
        <f t="shared" si="4"/>
        <v>9.3719999999999999</v>
      </c>
      <c r="I113" s="7">
        <v>1.2</v>
      </c>
      <c r="J113" s="5">
        <f t="shared" si="5"/>
        <v>176.86799999999999</v>
      </c>
    </row>
    <row r="114" spans="1:10" x14ac:dyDescent="0.35">
      <c r="A114" s="3" t="s">
        <v>56</v>
      </c>
      <c r="B114" s="6">
        <v>43894</v>
      </c>
      <c r="C114" s="10" t="s">
        <v>589</v>
      </c>
      <c r="D114" s="3" t="s">
        <v>9</v>
      </c>
      <c r="E114" s="4">
        <v>7.28</v>
      </c>
      <c r="F114" s="3">
        <v>18</v>
      </c>
      <c r="G114" s="3">
        <f t="shared" si="3"/>
        <v>131.04</v>
      </c>
      <c r="H114" s="3">
        <f t="shared" si="4"/>
        <v>6.5519999999999996</v>
      </c>
      <c r="I114" s="7">
        <v>11.15</v>
      </c>
      <c r="J114" s="5">
        <f t="shared" si="5"/>
        <v>113.33799999999999</v>
      </c>
    </row>
    <row r="115" spans="1:10" x14ac:dyDescent="0.35">
      <c r="A115" s="3" t="s">
        <v>58</v>
      </c>
      <c r="B115" s="6">
        <v>43892</v>
      </c>
      <c r="C115" s="10" t="s">
        <v>589</v>
      </c>
      <c r="D115" s="3" t="s">
        <v>9</v>
      </c>
      <c r="E115" s="4">
        <v>34.76</v>
      </c>
      <c r="F115" s="3">
        <v>10</v>
      </c>
      <c r="G115" s="3">
        <f t="shared" si="3"/>
        <v>347.59999999999997</v>
      </c>
      <c r="H115" s="3">
        <f t="shared" si="4"/>
        <v>17.38</v>
      </c>
      <c r="I115" s="7">
        <v>8.2200000000000006</v>
      </c>
      <c r="J115" s="5">
        <f t="shared" si="5"/>
        <v>321.99999999999994</v>
      </c>
    </row>
    <row r="116" spans="1:10" x14ac:dyDescent="0.35">
      <c r="A116" s="3" t="s">
        <v>60</v>
      </c>
      <c r="B116" s="6">
        <v>43890</v>
      </c>
      <c r="C116" s="10" t="s">
        <v>589</v>
      </c>
      <c r="D116" s="3" t="s">
        <v>27</v>
      </c>
      <c r="E116" s="4">
        <v>3.57</v>
      </c>
      <c r="F116" s="3">
        <v>10</v>
      </c>
      <c r="G116" s="3">
        <f t="shared" si="3"/>
        <v>35.699999999999996</v>
      </c>
      <c r="H116" s="3">
        <f t="shared" si="4"/>
        <v>1.7849999999999999</v>
      </c>
      <c r="I116" s="7">
        <v>4.17</v>
      </c>
      <c r="J116" s="5">
        <f t="shared" si="5"/>
        <v>29.744999999999997</v>
      </c>
    </row>
    <row r="117" spans="1:10" x14ac:dyDescent="0.35">
      <c r="A117" s="3" t="s">
        <v>65</v>
      </c>
      <c r="B117" s="6">
        <v>43885</v>
      </c>
      <c r="C117" s="10" t="s">
        <v>589</v>
      </c>
      <c r="D117" s="3" t="s">
        <v>9</v>
      </c>
      <c r="E117" s="4">
        <v>3.08</v>
      </c>
      <c r="F117" s="3">
        <v>18</v>
      </c>
      <c r="G117" s="3">
        <f t="shared" si="3"/>
        <v>55.44</v>
      </c>
      <c r="H117" s="3">
        <f t="shared" si="4"/>
        <v>2.7720000000000002</v>
      </c>
      <c r="I117" s="7">
        <v>0.99</v>
      </c>
      <c r="J117" s="5">
        <f t="shared" si="5"/>
        <v>51.677999999999997</v>
      </c>
    </row>
    <row r="118" spans="1:10" x14ac:dyDescent="0.35">
      <c r="A118" s="3" t="s">
        <v>68</v>
      </c>
      <c r="B118" s="6">
        <v>43882</v>
      </c>
      <c r="C118" s="10" t="s">
        <v>589</v>
      </c>
      <c r="D118" s="3" t="s">
        <v>9</v>
      </c>
      <c r="E118" s="4">
        <v>5.4</v>
      </c>
      <c r="F118" s="3">
        <v>1</v>
      </c>
      <c r="G118" s="3">
        <f t="shared" si="3"/>
        <v>5.4</v>
      </c>
      <c r="H118" s="3">
        <f t="shared" si="4"/>
        <v>0.27</v>
      </c>
      <c r="I118" s="7">
        <v>7.78</v>
      </c>
      <c r="J118" s="5">
        <f t="shared" si="5"/>
        <v>-2.6499999999999995</v>
      </c>
    </row>
    <row r="119" spans="1:10" x14ac:dyDescent="0.35">
      <c r="A119" s="3" t="s">
        <v>87</v>
      </c>
      <c r="B119" s="6">
        <v>43863</v>
      </c>
      <c r="C119" s="10" t="s">
        <v>589</v>
      </c>
      <c r="D119" s="3" t="s">
        <v>9</v>
      </c>
      <c r="E119" s="4">
        <v>152.47999999999999</v>
      </c>
      <c r="F119" s="3">
        <v>44</v>
      </c>
      <c r="G119" s="3">
        <f t="shared" si="3"/>
        <v>6709.12</v>
      </c>
      <c r="H119" s="3">
        <f t="shared" si="4"/>
        <v>335.45600000000002</v>
      </c>
      <c r="I119" s="7">
        <v>6.5</v>
      </c>
      <c r="J119" s="5">
        <f t="shared" si="5"/>
        <v>6367.1639999999998</v>
      </c>
    </row>
    <row r="120" spans="1:10" x14ac:dyDescent="0.35">
      <c r="A120" s="3" t="s">
        <v>89</v>
      </c>
      <c r="B120" s="6">
        <v>43861</v>
      </c>
      <c r="C120" s="10" t="s">
        <v>589</v>
      </c>
      <c r="D120" s="3" t="s">
        <v>9</v>
      </c>
      <c r="E120" s="4">
        <v>40.97</v>
      </c>
      <c r="F120" s="3">
        <v>26</v>
      </c>
      <c r="G120" s="3">
        <f t="shared" si="3"/>
        <v>1065.22</v>
      </c>
      <c r="H120" s="3">
        <f t="shared" si="4"/>
        <v>53.261000000000003</v>
      </c>
      <c r="I120" s="7">
        <v>8.99</v>
      </c>
      <c r="J120" s="5">
        <f t="shared" si="5"/>
        <v>1002.9690000000001</v>
      </c>
    </row>
    <row r="121" spans="1:10" x14ac:dyDescent="0.35">
      <c r="A121" s="3" t="s">
        <v>94</v>
      </c>
      <c r="B121" s="6">
        <v>43856</v>
      </c>
      <c r="C121" s="10" t="s">
        <v>589</v>
      </c>
      <c r="D121" s="3" t="s">
        <v>9</v>
      </c>
      <c r="E121" s="4">
        <v>19.98</v>
      </c>
      <c r="F121" s="3">
        <v>9</v>
      </c>
      <c r="G121" s="3">
        <f t="shared" si="3"/>
        <v>179.82</v>
      </c>
      <c r="H121" s="3">
        <f t="shared" si="4"/>
        <v>8.9909999999999997</v>
      </c>
      <c r="I121" s="7">
        <v>4</v>
      </c>
      <c r="J121" s="5">
        <f t="shared" si="5"/>
        <v>166.82900000000001</v>
      </c>
    </row>
    <row r="122" spans="1:10" x14ac:dyDescent="0.35">
      <c r="A122" s="3" t="s">
        <v>99</v>
      </c>
      <c r="B122" s="6">
        <v>43851</v>
      </c>
      <c r="C122" s="10" t="s">
        <v>589</v>
      </c>
      <c r="D122" s="3" t="s">
        <v>27</v>
      </c>
      <c r="E122" s="4">
        <v>2.61</v>
      </c>
      <c r="F122" s="3">
        <v>25</v>
      </c>
      <c r="G122" s="3">
        <f t="shared" si="3"/>
        <v>65.25</v>
      </c>
      <c r="H122" s="3">
        <f t="shared" si="4"/>
        <v>3.2625000000000002</v>
      </c>
      <c r="I122" s="7">
        <v>0.5</v>
      </c>
      <c r="J122" s="5">
        <f t="shared" si="5"/>
        <v>61.487499999999997</v>
      </c>
    </row>
    <row r="123" spans="1:10" x14ac:dyDescent="0.35">
      <c r="A123" s="3" t="s">
        <v>103</v>
      </c>
      <c r="B123" s="6">
        <v>43847</v>
      </c>
      <c r="C123" s="10" t="s">
        <v>589</v>
      </c>
      <c r="D123" s="3" t="s">
        <v>9</v>
      </c>
      <c r="E123" s="4">
        <v>2.88</v>
      </c>
      <c r="F123" s="3">
        <v>32</v>
      </c>
      <c r="G123" s="3">
        <f t="shared" si="3"/>
        <v>92.16</v>
      </c>
      <c r="H123" s="3">
        <f t="shared" si="4"/>
        <v>4.6079999999999997</v>
      </c>
      <c r="I123" s="7">
        <v>1.49</v>
      </c>
      <c r="J123" s="5">
        <f t="shared" si="5"/>
        <v>86.061999999999998</v>
      </c>
    </row>
    <row r="124" spans="1:10" x14ac:dyDescent="0.35">
      <c r="A124" s="3" t="s">
        <v>110</v>
      </c>
      <c r="B124" s="6">
        <v>43840</v>
      </c>
      <c r="C124" s="10" t="s">
        <v>589</v>
      </c>
      <c r="D124" s="3" t="s">
        <v>9</v>
      </c>
      <c r="E124" s="4">
        <v>19.98</v>
      </c>
      <c r="F124" s="3">
        <v>9</v>
      </c>
      <c r="G124" s="3">
        <f t="shared" si="3"/>
        <v>179.82</v>
      </c>
      <c r="H124" s="3">
        <f t="shared" si="4"/>
        <v>8.9909999999999997</v>
      </c>
      <c r="I124" s="7">
        <v>4</v>
      </c>
      <c r="J124" s="5">
        <f t="shared" si="5"/>
        <v>166.82900000000001</v>
      </c>
    </row>
    <row r="125" spans="1:10" x14ac:dyDescent="0.35">
      <c r="A125" s="3" t="s">
        <v>113</v>
      </c>
      <c r="B125" s="6">
        <v>43837</v>
      </c>
      <c r="C125" s="10" t="s">
        <v>589</v>
      </c>
      <c r="D125" s="3" t="s">
        <v>9</v>
      </c>
      <c r="E125" s="4">
        <v>3.78</v>
      </c>
      <c r="F125" s="3">
        <v>22</v>
      </c>
      <c r="G125" s="3">
        <f t="shared" si="3"/>
        <v>83.16</v>
      </c>
      <c r="H125" s="3">
        <f t="shared" si="4"/>
        <v>4.1580000000000004</v>
      </c>
      <c r="I125" s="7">
        <v>0.71</v>
      </c>
      <c r="J125" s="5">
        <f t="shared" si="5"/>
        <v>78.292000000000002</v>
      </c>
    </row>
    <row r="126" spans="1:10" x14ac:dyDescent="0.35">
      <c r="A126" s="3" t="s">
        <v>116</v>
      </c>
      <c r="B126" s="6">
        <v>43834</v>
      </c>
      <c r="C126" s="10" t="s">
        <v>589</v>
      </c>
      <c r="D126" s="3" t="s">
        <v>9</v>
      </c>
      <c r="E126" s="4">
        <v>30.98</v>
      </c>
      <c r="F126" s="3">
        <v>37</v>
      </c>
      <c r="G126" s="3">
        <f t="shared" si="3"/>
        <v>1146.26</v>
      </c>
      <c r="H126" s="3">
        <f t="shared" si="4"/>
        <v>57.313000000000002</v>
      </c>
      <c r="I126" s="7">
        <v>19.510000000000002</v>
      </c>
      <c r="J126" s="5">
        <f t="shared" si="5"/>
        <v>1069.4369999999999</v>
      </c>
    </row>
    <row r="127" spans="1:10" x14ac:dyDescent="0.35">
      <c r="A127" s="3" t="s">
        <v>119</v>
      </c>
      <c r="B127" s="6">
        <v>43831</v>
      </c>
      <c r="C127" s="10" t="s">
        <v>589</v>
      </c>
      <c r="D127" s="3" t="s">
        <v>9</v>
      </c>
      <c r="E127" s="4">
        <v>30.98</v>
      </c>
      <c r="F127" s="3">
        <v>30</v>
      </c>
      <c r="G127" s="3">
        <f t="shared" si="3"/>
        <v>929.4</v>
      </c>
      <c r="H127" s="3">
        <f t="shared" si="4"/>
        <v>46.47</v>
      </c>
      <c r="I127" s="7">
        <v>19.510000000000002</v>
      </c>
      <c r="J127" s="5">
        <f t="shared" si="5"/>
        <v>863.42</v>
      </c>
    </row>
    <row r="128" spans="1:10" x14ac:dyDescent="0.35">
      <c r="A128" s="3" t="s">
        <v>122</v>
      </c>
      <c r="B128" s="6">
        <v>43828</v>
      </c>
      <c r="C128" s="10" t="s">
        <v>589</v>
      </c>
      <c r="D128" s="3" t="s">
        <v>9</v>
      </c>
      <c r="E128" s="4">
        <v>35.44</v>
      </c>
      <c r="F128" s="3">
        <v>44</v>
      </c>
      <c r="G128" s="3">
        <f t="shared" si="3"/>
        <v>1559.36</v>
      </c>
      <c r="H128" s="3">
        <f t="shared" si="4"/>
        <v>77.968000000000004</v>
      </c>
      <c r="I128" s="7">
        <v>4.92</v>
      </c>
      <c r="J128" s="5">
        <f t="shared" si="5"/>
        <v>1476.4719999999998</v>
      </c>
    </row>
    <row r="129" spans="1:10" x14ac:dyDescent="0.35">
      <c r="A129" s="3" t="s">
        <v>125</v>
      </c>
      <c r="B129" s="6">
        <v>43825</v>
      </c>
      <c r="C129" s="10" t="s">
        <v>589</v>
      </c>
      <c r="D129" s="3" t="s">
        <v>9</v>
      </c>
      <c r="E129" s="4">
        <v>4</v>
      </c>
      <c r="F129" s="3">
        <v>22</v>
      </c>
      <c r="G129" s="3">
        <f t="shared" si="3"/>
        <v>88</v>
      </c>
      <c r="H129" s="3">
        <f t="shared" si="4"/>
        <v>4.4000000000000004</v>
      </c>
      <c r="I129" s="7">
        <v>1.3</v>
      </c>
      <c r="J129" s="5">
        <f t="shared" si="5"/>
        <v>82.3</v>
      </c>
    </row>
    <row r="130" spans="1:10" x14ac:dyDescent="0.35">
      <c r="A130" s="3" t="s">
        <v>128</v>
      </c>
      <c r="B130" s="6">
        <v>43822</v>
      </c>
      <c r="C130" s="10" t="s">
        <v>589</v>
      </c>
      <c r="D130" s="3" t="s">
        <v>9</v>
      </c>
      <c r="E130" s="4">
        <v>5.43</v>
      </c>
      <c r="F130" s="3">
        <v>12</v>
      </c>
      <c r="G130" s="3">
        <f t="shared" si="3"/>
        <v>65.16</v>
      </c>
      <c r="H130" s="3">
        <f t="shared" si="4"/>
        <v>3.258</v>
      </c>
      <c r="I130" s="7">
        <v>0.95</v>
      </c>
      <c r="J130" s="5">
        <f t="shared" si="5"/>
        <v>60.951999999999991</v>
      </c>
    </row>
    <row r="131" spans="1:10" x14ac:dyDescent="0.35">
      <c r="A131" s="3" t="s">
        <v>131</v>
      </c>
      <c r="B131" s="6">
        <v>43819</v>
      </c>
      <c r="C131" s="10" t="s">
        <v>589</v>
      </c>
      <c r="D131" s="3" t="s">
        <v>9</v>
      </c>
      <c r="E131" s="4">
        <v>4.91</v>
      </c>
      <c r="F131" s="3">
        <v>13</v>
      </c>
      <c r="G131" s="3">
        <f t="shared" ref="G131:G194" si="6">E131*F131</f>
        <v>63.83</v>
      </c>
      <c r="H131" s="3">
        <f t="shared" ref="H131:H194" si="7">G131*5%</f>
        <v>3.1915</v>
      </c>
      <c r="I131" s="7">
        <v>0.5</v>
      </c>
      <c r="J131" s="5">
        <f t="shared" ref="J131:J194" si="8">G131-H131-I131</f>
        <v>60.138500000000001</v>
      </c>
    </row>
    <row r="132" spans="1:10" x14ac:dyDescent="0.35">
      <c r="A132" s="3" t="s">
        <v>133</v>
      </c>
      <c r="B132" s="6">
        <v>43817</v>
      </c>
      <c r="C132" s="10" t="s">
        <v>589</v>
      </c>
      <c r="D132" s="3" t="s">
        <v>19</v>
      </c>
      <c r="E132" s="4">
        <v>535.64</v>
      </c>
      <c r="F132" s="3">
        <v>44</v>
      </c>
      <c r="G132" s="3">
        <f t="shared" si="6"/>
        <v>23568.16</v>
      </c>
      <c r="H132" s="3">
        <f t="shared" si="7"/>
        <v>1178.4080000000001</v>
      </c>
      <c r="I132" s="7">
        <v>14.7</v>
      </c>
      <c r="J132" s="5">
        <f t="shared" si="8"/>
        <v>22375.052</v>
      </c>
    </row>
    <row r="133" spans="1:10" x14ac:dyDescent="0.35">
      <c r="A133" s="3" t="s">
        <v>174</v>
      </c>
      <c r="B133" s="6">
        <v>43776</v>
      </c>
      <c r="C133" s="10" t="s">
        <v>589</v>
      </c>
      <c r="D133" s="3" t="s">
        <v>9</v>
      </c>
      <c r="E133" s="4">
        <v>4.91</v>
      </c>
      <c r="F133" s="3">
        <v>28</v>
      </c>
      <c r="G133" s="3">
        <f t="shared" si="6"/>
        <v>137.48000000000002</v>
      </c>
      <c r="H133" s="3">
        <f t="shared" si="7"/>
        <v>6.8740000000000014</v>
      </c>
      <c r="I133" s="7">
        <v>0.5</v>
      </c>
      <c r="J133" s="5">
        <f t="shared" si="8"/>
        <v>130.10600000000002</v>
      </c>
    </row>
    <row r="134" spans="1:10" x14ac:dyDescent="0.35">
      <c r="A134" s="3" t="s">
        <v>175</v>
      </c>
      <c r="B134" s="6">
        <v>43775</v>
      </c>
      <c r="C134" s="10" t="s">
        <v>589</v>
      </c>
      <c r="D134" s="3" t="s">
        <v>9</v>
      </c>
      <c r="E134" s="4">
        <v>4.76</v>
      </c>
      <c r="F134" s="3">
        <v>5</v>
      </c>
      <c r="G134" s="3">
        <f t="shared" si="6"/>
        <v>23.799999999999997</v>
      </c>
      <c r="H134" s="3">
        <f t="shared" si="7"/>
        <v>1.19</v>
      </c>
      <c r="I134" s="7">
        <v>0.88</v>
      </c>
      <c r="J134" s="5">
        <f t="shared" si="8"/>
        <v>21.729999999999997</v>
      </c>
    </row>
    <row r="135" spans="1:10" x14ac:dyDescent="0.35">
      <c r="A135" s="3" t="s">
        <v>176</v>
      </c>
      <c r="B135" s="6">
        <v>43774</v>
      </c>
      <c r="C135" s="10" t="s">
        <v>589</v>
      </c>
      <c r="D135" s="3" t="s">
        <v>27</v>
      </c>
      <c r="E135" s="4">
        <v>2.78</v>
      </c>
      <c r="F135" s="3">
        <v>47</v>
      </c>
      <c r="G135" s="3">
        <f t="shared" si="6"/>
        <v>130.66</v>
      </c>
      <c r="H135" s="3">
        <f t="shared" si="7"/>
        <v>6.5330000000000004</v>
      </c>
      <c r="I135" s="7">
        <v>1.34</v>
      </c>
      <c r="J135" s="5">
        <f t="shared" si="8"/>
        <v>122.78699999999999</v>
      </c>
    </row>
    <row r="136" spans="1:10" x14ac:dyDescent="0.35">
      <c r="A136" s="3" t="s">
        <v>177</v>
      </c>
      <c r="B136" s="6">
        <v>43773</v>
      </c>
      <c r="C136" s="10" t="s">
        <v>589</v>
      </c>
      <c r="D136" s="3" t="s">
        <v>9</v>
      </c>
      <c r="E136" s="4">
        <v>2.62</v>
      </c>
      <c r="F136" s="3">
        <v>30</v>
      </c>
      <c r="G136" s="3">
        <f t="shared" si="6"/>
        <v>78.600000000000009</v>
      </c>
      <c r="H136" s="3">
        <f t="shared" si="7"/>
        <v>3.9300000000000006</v>
      </c>
      <c r="I136" s="7">
        <v>0.8</v>
      </c>
      <c r="J136" s="5">
        <f t="shared" si="8"/>
        <v>73.87</v>
      </c>
    </row>
    <row r="137" spans="1:10" x14ac:dyDescent="0.35">
      <c r="A137" s="3" t="s">
        <v>178</v>
      </c>
      <c r="B137" s="6">
        <v>43772</v>
      </c>
      <c r="C137" s="10" t="s">
        <v>589</v>
      </c>
      <c r="D137" s="3" t="s">
        <v>9</v>
      </c>
      <c r="E137" s="4">
        <v>36.549999999999997</v>
      </c>
      <c r="F137" s="3">
        <v>34</v>
      </c>
      <c r="G137" s="3">
        <f t="shared" si="6"/>
        <v>1242.6999999999998</v>
      </c>
      <c r="H137" s="3">
        <f t="shared" si="7"/>
        <v>62.134999999999991</v>
      </c>
      <c r="I137" s="7">
        <v>13.89</v>
      </c>
      <c r="J137" s="5">
        <f t="shared" si="8"/>
        <v>1166.6749999999997</v>
      </c>
    </row>
    <row r="138" spans="1:10" x14ac:dyDescent="0.35">
      <c r="A138" s="3" t="s">
        <v>222</v>
      </c>
      <c r="B138" s="6">
        <v>43728</v>
      </c>
      <c r="C138" s="10" t="s">
        <v>589</v>
      </c>
      <c r="D138" s="3" t="s">
        <v>9</v>
      </c>
      <c r="E138" s="4">
        <v>5.43</v>
      </c>
      <c r="F138" s="3">
        <v>37</v>
      </c>
      <c r="G138" s="3">
        <f t="shared" si="6"/>
        <v>200.91</v>
      </c>
      <c r="H138" s="3">
        <f t="shared" si="7"/>
        <v>10.045500000000001</v>
      </c>
      <c r="I138" s="7">
        <v>0.95</v>
      </c>
      <c r="J138" s="5">
        <f t="shared" si="8"/>
        <v>189.9145</v>
      </c>
    </row>
    <row r="139" spans="1:10" x14ac:dyDescent="0.35">
      <c r="A139" s="3" t="s">
        <v>225</v>
      </c>
      <c r="B139" s="6">
        <v>43725</v>
      </c>
      <c r="C139" s="10" t="s">
        <v>589</v>
      </c>
      <c r="D139" s="3" t="s">
        <v>9</v>
      </c>
      <c r="E139" s="4">
        <v>36.549999999999997</v>
      </c>
      <c r="F139" s="3">
        <v>17</v>
      </c>
      <c r="G139" s="3">
        <f t="shared" si="6"/>
        <v>621.34999999999991</v>
      </c>
      <c r="H139" s="3">
        <f t="shared" si="7"/>
        <v>31.067499999999995</v>
      </c>
      <c r="I139" s="7">
        <v>13.89</v>
      </c>
      <c r="J139" s="5">
        <f t="shared" si="8"/>
        <v>576.39249999999993</v>
      </c>
    </row>
    <row r="140" spans="1:10" x14ac:dyDescent="0.35">
      <c r="A140" s="3" t="s">
        <v>227</v>
      </c>
      <c r="B140" s="6">
        <v>43723</v>
      </c>
      <c r="C140" s="10" t="s">
        <v>589</v>
      </c>
      <c r="D140" s="3" t="s">
        <v>9</v>
      </c>
      <c r="E140" s="4">
        <v>136.97999999999999</v>
      </c>
      <c r="F140" s="3">
        <v>14</v>
      </c>
      <c r="G140" s="3">
        <f t="shared" si="6"/>
        <v>1917.7199999999998</v>
      </c>
      <c r="H140" s="3">
        <f t="shared" si="7"/>
        <v>95.885999999999996</v>
      </c>
      <c r="I140" s="7">
        <v>24.49</v>
      </c>
      <c r="J140" s="5">
        <f t="shared" si="8"/>
        <v>1797.3439999999998</v>
      </c>
    </row>
    <row r="141" spans="1:10" x14ac:dyDescent="0.35">
      <c r="A141" s="3" t="s">
        <v>242</v>
      </c>
      <c r="B141" s="6">
        <v>43708</v>
      </c>
      <c r="C141" s="10" t="s">
        <v>589</v>
      </c>
      <c r="D141" s="3" t="s">
        <v>19</v>
      </c>
      <c r="E141" s="4">
        <v>120.97</v>
      </c>
      <c r="F141" s="3">
        <v>42</v>
      </c>
      <c r="G141" s="3">
        <f t="shared" si="6"/>
        <v>5080.74</v>
      </c>
      <c r="H141" s="3">
        <f t="shared" si="7"/>
        <v>254.03700000000001</v>
      </c>
      <c r="I141" s="7">
        <v>26.3</v>
      </c>
      <c r="J141" s="5">
        <f t="shared" si="8"/>
        <v>4800.4029999999993</v>
      </c>
    </row>
    <row r="142" spans="1:10" x14ac:dyDescent="0.35">
      <c r="A142" s="3" t="s">
        <v>247</v>
      </c>
      <c r="B142" s="6">
        <v>43703</v>
      </c>
      <c r="C142" s="10" t="s">
        <v>589</v>
      </c>
      <c r="D142" s="3" t="s">
        <v>9</v>
      </c>
      <c r="E142" s="4">
        <v>4.76</v>
      </c>
      <c r="F142" s="3">
        <v>23</v>
      </c>
      <c r="G142" s="3">
        <f t="shared" si="6"/>
        <v>109.47999999999999</v>
      </c>
      <c r="H142" s="3">
        <f t="shared" si="7"/>
        <v>5.4740000000000002</v>
      </c>
      <c r="I142" s="7">
        <v>0.88</v>
      </c>
      <c r="J142" s="5">
        <f t="shared" si="8"/>
        <v>103.12599999999999</v>
      </c>
    </row>
    <row r="143" spans="1:10" x14ac:dyDescent="0.35">
      <c r="A143" s="3" t="s">
        <v>250</v>
      </c>
      <c r="B143" s="6">
        <v>43700</v>
      </c>
      <c r="C143" s="10" t="s">
        <v>589</v>
      </c>
      <c r="D143" s="3" t="s">
        <v>9</v>
      </c>
      <c r="E143" s="4">
        <v>1.26</v>
      </c>
      <c r="F143" s="3">
        <v>47</v>
      </c>
      <c r="G143" s="3">
        <f t="shared" si="6"/>
        <v>59.22</v>
      </c>
      <c r="H143" s="3">
        <f t="shared" si="7"/>
        <v>2.9610000000000003</v>
      </c>
      <c r="I143" s="7">
        <v>0.7</v>
      </c>
      <c r="J143" s="5">
        <f t="shared" si="8"/>
        <v>55.558999999999997</v>
      </c>
    </row>
    <row r="144" spans="1:10" x14ac:dyDescent="0.35">
      <c r="A144" s="3" t="s">
        <v>252</v>
      </c>
      <c r="B144" s="6">
        <v>43698</v>
      </c>
      <c r="C144" s="10" t="s">
        <v>589</v>
      </c>
      <c r="D144" s="3" t="s">
        <v>9</v>
      </c>
      <c r="E144" s="4">
        <v>19.98</v>
      </c>
      <c r="F144" s="3">
        <v>47</v>
      </c>
      <c r="G144" s="3">
        <f t="shared" si="6"/>
        <v>939.06000000000006</v>
      </c>
      <c r="H144" s="3">
        <f t="shared" si="7"/>
        <v>46.953000000000003</v>
      </c>
      <c r="I144" s="7">
        <v>5.77</v>
      </c>
      <c r="J144" s="5">
        <f t="shared" si="8"/>
        <v>886.3370000000001</v>
      </c>
    </row>
    <row r="145" spans="1:10" x14ac:dyDescent="0.35">
      <c r="A145" s="3" t="s">
        <v>254</v>
      </c>
      <c r="B145" s="6">
        <v>43696</v>
      </c>
      <c r="C145" s="10" t="s">
        <v>589</v>
      </c>
      <c r="D145" s="3" t="s">
        <v>9</v>
      </c>
      <c r="E145" s="4">
        <v>1.6</v>
      </c>
      <c r="F145" s="3">
        <v>40</v>
      </c>
      <c r="G145" s="3">
        <f t="shared" si="6"/>
        <v>64</v>
      </c>
      <c r="H145" s="3">
        <f t="shared" si="7"/>
        <v>3.2</v>
      </c>
      <c r="I145" s="7">
        <v>1.29</v>
      </c>
      <c r="J145" s="5">
        <f t="shared" si="8"/>
        <v>59.51</v>
      </c>
    </row>
    <row r="146" spans="1:10" x14ac:dyDescent="0.35">
      <c r="A146" s="3" t="s">
        <v>256</v>
      </c>
      <c r="B146" s="6">
        <v>43694</v>
      </c>
      <c r="C146" s="10" t="s">
        <v>589</v>
      </c>
      <c r="D146" s="3" t="s">
        <v>9</v>
      </c>
      <c r="E146" s="4">
        <v>19.98</v>
      </c>
      <c r="F146" s="3">
        <v>39</v>
      </c>
      <c r="G146" s="3">
        <f t="shared" si="6"/>
        <v>779.22</v>
      </c>
      <c r="H146" s="3">
        <f t="shared" si="7"/>
        <v>38.961000000000006</v>
      </c>
      <c r="I146" s="7">
        <v>4</v>
      </c>
      <c r="J146" s="5">
        <f t="shared" si="8"/>
        <v>736.25900000000001</v>
      </c>
    </row>
    <row r="147" spans="1:10" x14ac:dyDescent="0.35">
      <c r="A147" s="3" t="s">
        <v>258</v>
      </c>
      <c r="B147" s="6">
        <v>43692</v>
      </c>
      <c r="C147" s="10" t="s">
        <v>589</v>
      </c>
      <c r="D147" s="3" t="s">
        <v>9</v>
      </c>
      <c r="E147" s="4">
        <v>95.99</v>
      </c>
      <c r="F147" s="3">
        <v>40</v>
      </c>
      <c r="G147" s="3">
        <f t="shared" si="6"/>
        <v>3839.6</v>
      </c>
      <c r="H147" s="3">
        <f t="shared" si="7"/>
        <v>191.98000000000002</v>
      </c>
      <c r="I147" s="7">
        <v>8.99</v>
      </c>
      <c r="J147" s="5">
        <f t="shared" si="8"/>
        <v>3638.63</v>
      </c>
    </row>
    <row r="148" spans="1:10" x14ac:dyDescent="0.35">
      <c r="A148" s="3" t="s">
        <v>260</v>
      </c>
      <c r="B148" s="6">
        <v>43690</v>
      </c>
      <c r="C148" s="10" t="s">
        <v>589</v>
      </c>
      <c r="D148" s="3" t="s">
        <v>9</v>
      </c>
      <c r="E148" s="4">
        <v>1.6</v>
      </c>
      <c r="F148" s="3">
        <v>43</v>
      </c>
      <c r="G148" s="3">
        <f t="shared" si="6"/>
        <v>68.8</v>
      </c>
      <c r="H148" s="3">
        <f t="shared" si="7"/>
        <v>3.44</v>
      </c>
      <c r="I148" s="7">
        <v>1.29</v>
      </c>
      <c r="J148" s="5">
        <f t="shared" si="8"/>
        <v>64.069999999999993</v>
      </c>
    </row>
    <row r="149" spans="1:10" x14ac:dyDescent="0.35">
      <c r="A149" s="3" t="s">
        <v>262</v>
      </c>
      <c r="B149" s="6">
        <v>43688</v>
      </c>
      <c r="C149" s="10" t="s">
        <v>589</v>
      </c>
      <c r="D149" s="3" t="s">
        <v>9</v>
      </c>
      <c r="E149" s="4">
        <v>35.44</v>
      </c>
      <c r="F149" s="3">
        <v>48</v>
      </c>
      <c r="G149" s="3">
        <f t="shared" si="6"/>
        <v>1701.12</v>
      </c>
      <c r="H149" s="3">
        <f t="shared" si="7"/>
        <v>85.055999999999997</v>
      </c>
      <c r="I149" s="7">
        <v>4.92</v>
      </c>
      <c r="J149" s="5">
        <f t="shared" si="8"/>
        <v>1611.1439999999998</v>
      </c>
    </row>
    <row r="150" spans="1:10" x14ac:dyDescent="0.35">
      <c r="A150" s="3" t="s">
        <v>264</v>
      </c>
      <c r="B150" s="6">
        <v>43686</v>
      </c>
      <c r="C150" s="10" t="s">
        <v>589</v>
      </c>
      <c r="D150" s="3" t="s">
        <v>9</v>
      </c>
      <c r="E150" s="4">
        <v>29.99</v>
      </c>
      <c r="F150" s="3">
        <v>11</v>
      </c>
      <c r="G150" s="3">
        <f t="shared" si="6"/>
        <v>329.89</v>
      </c>
      <c r="H150" s="3">
        <f t="shared" si="7"/>
        <v>16.494499999999999</v>
      </c>
      <c r="I150" s="7">
        <v>5.5</v>
      </c>
      <c r="J150" s="5">
        <f t="shared" si="8"/>
        <v>307.89549999999997</v>
      </c>
    </row>
    <row r="151" spans="1:10" x14ac:dyDescent="0.35">
      <c r="A151" s="3" t="s">
        <v>266</v>
      </c>
      <c r="B151" s="6">
        <v>43684</v>
      </c>
      <c r="C151" s="10" t="s">
        <v>589</v>
      </c>
      <c r="D151" s="3" t="s">
        <v>9</v>
      </c>
      <c r="E151" s="4">
        <v>7.3</v>
      </c>
      <c r="F151" s="3">
        <v>36</v>
      </c>
      <c r="G151" s="3">
        <f t="shared" si="6"/>
        <v>262.8</v>
      </c>
      <c r="H151" s="3">
        <f t="shared" si="7"/>
        <v>13.14</v>
      </c>
      <c r="I151" s="7">
        <v>7.72</v>
      </c>
      <c r="J151" s="5">
        <f t="shared" si="8"/>
        <v>241.94000000000003</v>
      </c>
    </row>
    <row r="152" spans="1:10" x14ac:dyDescent="0.35">
      <c r="A152" s="3" t="s">
        <v>268</v>
      </c>
      <c r="B152" s="6">
        <v>43682</v>
      </c>
      <c r="C152" s="10" t="s">
        <v>589</v>
      </c>
      <c r="D152" s="3" t="s">
        <v>9</v>
      </c>
      <c r="E152" s="4">
        <v>12.22</v>
      </c>
      <c r="F152" s="3">
        <v>10</v>
      </c>
      <c r="G152" s="3">
        <f t="shared" si="6"/>
        <v>122.2</v>
      </c>
      <c r="H152" s="3">
        <f t="shared" si="7"/>
        <v>6.11</v>
      </c>
      <c r="I152" s="7">
        <v>2.85</v>
      </c>
      <c r="J152" s="5">
        <f t="shared" si="8"/>
        <v>113.24000000000001</v>
      </c>
    </row>
    <row r="153" spans="1:10" x14ac:dyDescent="0.35">
      <c r="A153" s="3" t="s">
        <v>270</v>
      </c>
      <c r="B153" s="6">
        <v>43680</v>
      </c>
      <c r="C153" s="10" t="s">
        <v>589</v>
      </c>
      <c r="D153" s="3" t="s">
        <v>9</v>
      </c>
      <c r="E153" s="4">
        <v>4.76</v>
      </c>
      <c r="F153" s="3">
        <v>33</v>
      </c>
      <c r="G153" s="3">
        <f t="shared" si="6"/>
        <v>157.07999999999998</v>
      </c>
      <c r="H153" s="3">
        <f t="shared" si="7"/>
        <v>7.8539999999999992</v>
      </c>
      <c r="I153" s="7">
        <v>0.88</v>
      </c>
      <c r="J153" s="5">
        <f t="shared" si="8"/>
        <v>148.346</v>
      </c>
    </row>
    <row r="154" spans="1:10" x14ac:dyDescent="0.35">
      <c r="A154" s="3" t="s">
        <v>275</v>
      </c>
      <c r="B154" s="6">
        <v>43675</v>
      </c>
      <c r="C154" s="10" t="s">
        <v>589</v>
      </c>
      <c r="D154" s="3" t="s">
        <v>19</v>
      </c>
      <c r="E154" s="4">
        <v>19.84</v>
      </c>
      <c r="F154" s="3">
        <v>10</v>
      </c>
      <c r="G154" s="3">
        <f t="shared" si="6"/>
        <v>198.4</v>
      </c>
      <c r="H154" s="3">
        <f t="shared" si="7"/>
        <v>9.9200000000000017</v>
      </c>
      <c r="I154" s="7">
        <v>4.0999999999999996</v>
      </c>
      <c r="J154" s="5">
        <f t="shared" si="8"/>
        <v>184.38000000000002</v>
      </c>
    </row>
    <row r="155" spans="1:10" x14ac:dyDescent="0.35">
      <c r="A155" s="3" t="s">
        <v>277</v>
      </c>
      <c r="B155" s="6">
        <v>43673</v>
      </c>
      <c r="C155" s="10" t="s">
        <v>589</v>
      </c>
      <c r="D155" s="3" t="s">
        <v>19</v>
      </c>
      <c r="E155" s="4">
        <v>36.549999999999997</v>
      </c>
      <c r="F155" s="3">
        <v>6</v>
      </c>
      <c r="G155" s="3">
        <f t="shared" si="6"/>
        <v>219.29999999999998</v>
      </c>
      <c r="H155" s="3">
        <f t="shared" si="7"/>
        <v>10.965</v>
      </c>
      <c r="I155" s="7">
        <v>13.89</v>
      </c>
      <c r="J155" s="5">
        <f t="shared" si="8"/>
        <v>194.44499999999999</v>
      </c>
    </row>
    <row r="156" spans="1:10" x14ac:dyDescent="0.35">
      <c r="A156" s="3" t="s">
        <v>279</v>
      </c>
      <c r="B156" s="6">
        <v>43671</v>
      </c>
      <c r="C156" s="10" t="s">
        <v>589</v>
      </c>
      <c r="D156" s="3" t="s">
        <v>19</v>
      </c>
      <c r="E156" s="4">
        <v>6.08</v>
      </c>
      <c r="F156" s="3">
        <v>42</v>
      </c>
      <c r="G156" s="3">
        <f t="shared" si="6"/>
        <v>255.36</v>
      </c>
      <c r="H156" s="3">
        <f t="shared" si="7"/>
        <v>12.768000000000001</v>
      </c>
      <c r="I156" s="7">
        <v>1.82</v>
      </c>
      <c r="J156" s="5">
        <f t="shared" si="8"/>
        <v>240.77200000000002</v>
      </c>
    </row>
    <row r="157" spans="1:10" x14ac:dyDescent="0.35">
      <c r="A157" s="3" t="s">
        <v>281</v>
      </c>
      <c r="B157" s="6">
        <v>43669</v>
      </c>
      <c r="C157" s="10" t="s">
        <v>589</v>
      </c>
      <c r="D157" s="3" t="s">
        <v>19</v>
      </c>
      <c r="E157" s="4">
        <v>2.78</v>
      </c>
      <c r="F157" s="3">
        <v>38</v>
      </c>
      <c r="G157" s="3">
        <f t="shared" si="6"/>
        <v>105.63999999999999</v>
      </c>
      <c r="H157" s="3">
        <f t="shared" si="7"/>
        <v>5.282</v>
      </c>
      <c r="I157" s="7">
        <v>1.34</v>
      </c>
      <c r="J157" s="5">
        <f t="shared" si="8"/>
        <v>99.017999999999986</v>
      </c>
    </row>
    <row r="158" spans="1:10" x14ac:dyDescent="0.35">
      <c r="A158" s="3" t="s">
        <v>283</v>
      </c>
      <c r="B158" s="6">
        <v>43667</v>
      </c>
      <c r="C158" s="10" t="s">
        <v>589</v>
      </c>
      <c r="D158" s="3" t="s">
        <v>19</v>
      </c>
      <c r="E158" s="4">
        <v>3.98</v>
      </c>
      <c r="F158" s="3">
        <v>41</v>
      </c>
      <c r="G158" s="3">
        <f t="shared" si="6"/>
        <v>163.18</v>
      </c>
      <c r="H158" s="3">
        <f t="shared" si="7"/>
        <v>8.1590000000000007</v>
      </c>
      <c r="I158" s="7">
        <v>2.97</v>
      </c>
      <c r="J158" s="5">
        <f t="shared" si="8"/>
        <v>152.05100000000002</v>
      </c>
    </row>
    <row r="159" spans="1:10" x14ac:dyDescent="0.35">
      <c r="A159" s="3" t="s">
        <v>285</v>
      </c>
      <c r="B159" s="6">
        <v>43665</v>
      </c>
      <c r="C159" s="10" t="s">
        <v>589</v>
      </c>
      <c r="D159" s="3" t="s">
        <v>19</v>
      </c>
      <c r="E159" s="4">
        <v>12.98</v>
      </c>
      <c r="F159" s="3">
        <v>50</v>
      </c>
      <c r="G159" s="3">
        <f t="shared" si="6"/>
        <v>649</v>
      </c>
      <c r="H159" s="3">
        <f t="shared" si="7"/>
        <v>32.450000000000003</v>
      </c>
      <c r="I159" s="7">
        <v>3.14</v>
      </c>
      <c r="J159" s="5">
        <f t="shared" si="8"/>
        <v>613.41</v>
      </c>
    </row>
    <row r="160" spans="1:10" x14ac:dyDescent="0.35">
      <c r="A160" s="3" t="s">
        <v>287</v>
      </c>
      <c r="B160" s="6">
        <v>43663</v>
      </c>
      <c r="C160" s="10" t="s">
        <v>589</v>
      </c>
      <c r="D160" s="3" t="s">
        <v>19</v>
      </c>
      <c r="E160" s="4">
        <v>2.08</v>
      </c>
      <c r="F160" s="3">
        <v>33</v>
      </c>
      <c r="G160" s="3">
        <f t="shared" si="6"/>
        <v>68.64</v>
      </c>
      <c r="H160" s="3">
        <f t="shared" si="7"/>
        <v>3.4320000000000004</v>
      </c>
      <c r="I160" s="7">
        <v>2.56</v>
      </c>
      <c r="J160" s="5">
        <f t="shared" si="8"/>
        <v>62.647999999999996</v>
      </c>
    </row>
    <row r="161" spans="1:10" x14ac:dyDescent="0.35">
      <c r="A161" s="3" t="s">
        <v>289</v>
      </c>
      <c r="B161" s="6">
        <v>43661</v>
      </c>
      <c r="C161" s="10" t="s">
        <v>589</v>
      </c>
      <c r="D161" s="3" t="s">
        <v>19</v>
      </c>
      <c r="E161" s="4">
        <v>15.98</v>
      </c>
      <c r="F161" s="3">
        <v>4</v>
      </c>
      <c r="G161" s="3">
        <f t="shared" si="6"/>
        <v>63.92</v>
      </c>
      <c r="H161" s="3">
        <f t="shared" si="7"/>
        <v>3.1960000000000002</v>
      </c>
      <c r="I161" s="7">
        <v>6.5</v>
      </c>
      <c r="J161" s="5">
        <f t="shared" si="8"/>
        <v>54.224000000000004</v>
      </c>
    </row>
    <row r="162" spans="1:10" x14ac:dyDescent="0.35">
      <c r="A162" s="3" t="s">
        <v>291</v>
      </c>
      <c r="B162" s="6">
        <v>43659</v>
      </c>
      <c r="C162" s="10" t="s">
        <v>589</v>
      </c>
      <c r="D162" s="3" t="s">
        <v>19</v>
      </c>
      <c r="E162" s="4">
        <v>11.97</v>
      </c>
      <c r="F162" s="3">
        <v>28</v>
      </c>
      <c r="G162" s="3">
        <f t="shared" si="6"/>
        <v>335.16</v>
      </c>
      <c r="H162" s="3">
        <f t="shared" si="7"/>
        <v>16.758000000000003</v>
      </c>
      <c r="I162" s="7">
        <v>5.81</v>
      </c>
      <c r="J162" s="5">
        <f t="shared" si="8"/>
        <v>312.59200000000004</v>
      </c>
    </row>
    <row r="163" spans="1:10" x14ac:dyDescent="0.35">
      <c r="A163" s="3" t="s">
        <v>293</v>
      </c>
      <c r="B163" s="6">
        <v>43657</v>
      </c>
      <c r="C163" s="10" t="s">
        <v>589</v>
      </c>
      <c r="D163" s="3" t="s">
        <v>19</v>
      </c>
      <c r="E163" s="4">
        <v>6.68</v>
      </c>
      <c r="F163" s="3">
        <v>10</v>
      </c>
      <c r="G163" s="3">
        <f t="shared" si="6"/>
        <v>66.8</v>
      </c>
      <c r="H163" s="3">
        <f t="shared" si="7"/>
        <v>3.34</v>
      </c>
      <c r="I163" s="7">
        <v>1.5</v>
      </c>
      <c r="J163" s="5">
        <f t="shared" si="8"/>
        <v>61.959999999999994</v>
      </c>
    </row>
    <row r="164" spans="1:10" x14ac:dyDescent="0.35">
      <c r="A164" s="3" t="s">
        <v>295</v>
      </c>
      <c r="B164" s="6">
        <v>43655</v>
      </c>
      <c r="C164" s="10" t="s">
        <v>589</v>
      </c>
      <c r="D164" s="3" t="s">
        <v>19</v>
      </c>
      <c r="E164" s="4">
        <v>7.3</v>
      </c>
      <c r="F164" s="3">
        <v>38</v>
      </c>
      <c r="G164" s="3">
        <f t="shared" si="6"/>
        <v>277.39999999999998</v>
      </c>
      <c r="H164" s="3">
        <f t="shared" si="7"/>
        <v>13.87</v>
      </c>
      <c r="I164" s="7">
        <v>7.72</v>
      </c>
      <c r="J164" s="5">
        <f t="shared" si="8"/>
        <v>255.80999999999997</v>
      </c>
    </row>
    <row r="165" spans="1:10" x14ac:dyDescent="0.35">
      <c r="A165" s="3" t="s">
        <v>297</v>
      </c>
      <c r="B165" s="6">
        <v>43652</v>
      </c>
      <c r="C165" s="10" t="s">
        <v>589</v>
      </c>
      <c r="D165" s="3" t="s">
        <v>19</v>
      </c>
      <c r="E165" s="4">
        <v>20.99</v>
      </c>
      <c r="F165" s="3">
        <v>30</v>
      </c>
      <c r="G165" s="3">
        <f t="shared" si="6"/>
        <v>629.69999999999993</v>
      </c>
      <c r="H165" s="3">
        <f t="shared" si="7"/>
        <v>31.484999999999999</v>
      </c>
      <c r="I165" s="7">
        <v>4.8099999999999996</v>
      </c>
      <c r="J165" s="5">
        <f t="shared" si="8"/>
        <v>593.40499999999997</v>
      </c>
    </row>
    <row r="166" spans="1:10" x14ac:dyDescent="0.35">
      <c r="A166" s="3" t="s">
        <v>299</v>
      </c>
      <c r="B166" s="6">
        <v>43650</v>
      </c>
      <c r="C166" s="10" t="s">
        <v>589</v>
      </c>
      <c r="D166" s="3" t="s">
        <v>19</v>
      </c>
      <c r="E166" s="4">
        <v>40.97</v>
      </c>
      <c r="F166" s="3">
        <v>49</v>
      </c>
      <c r="G166" s="3">
        <f t="shared" si="6"/>
        <v>2007.53</v>
      </c>
      <c r="H166" s="3">
        <f t="shared" si="7"/>
        <v>100.37650000000001</v>
      </c>
      <c r="I166" s="7">
        <v>8.99</v>
      </c>
      <c r="J166" s="5">
        <f t="shared" si="8"/>
        <v>1898.1634999999999</v>
      </c>
    </row>
    <row r="167" spans="1:10" x14ac:dyDescent="0.35">
      <c r="A167" s="3" t="s">
        <v>301</v>
      </c>
      <c r="B167" s="6">
        <v>43648</v>
      </c>
      <c r="C167" s="10" t="s">
        <v>589</v>
      </c>
      <c r="D167" s="3" t="s">
        <v>19</v>
      </c>
      <c r="E167" s="4">
        <v>1.68</v>
      </c>
      <c r="F167" s="3">
        <v>24</v>
      </c>
      <c r="G167" s="3">
        <f t="shared" si="6"/>
        <v>40.32</v>
      </c>
      <c r="H167" s="3">
        <f t="shared" si="7"/>
        <v>2.016</v>
      </c>
      <c r="I167" s="7">
        <v>1</v>
      </c>
      <c r="J167" s="5">
        <f t="shared" si="8"/>
        <v>37.304000000000002</v>
      </c>
    </row>
    <row r="168" spans="1:10" x14ac:dyDescent="0.35">
      <c r="A168" s="3" t="s">
        <v>303</v>
      </c>
      <c r="B168" s="6">
        <v>43646</v>
      </c>
      <c r="C168" s="10" t="s">
        <v>589</v>
      </c>
      <c r="D168" s="3" t="s">
        <v>19</v>
      </c>
      <c r="E168" s="4">
        <v>45.99</v>
      </c>
      <c r="F168" s="3">
        <v>11</v>
      </c>
      <c r="G168" s="3">
        <f t="shared" si="6"/>
        <v>505.89000000000004</v>
      </c>
      <c r="H168" s="3">
        <f t="shared" si="7"/>
        <v>25.294500000000003</v>
      </c>
      <c r="I168" s="7">
        <v>4.99</v>
      </c>
      <c r="J168" s="5">
        <f t="shared" si="8"/>
        <v>475.60550000000001</v>
      </c>
    </row>
    <row r="169" spans="1:10" x14ac:dyDescent="0.35">
      <c r="A169" s="3" t="s">
        <v>305</v>
      </c>
      <c r="B169" s="6">
        <v>43644</v>
      </c>
      <c r="C169" s="10" t="s">
        <v>589</v>
      </c>
      <c r="D169" s="3" t="s">
        <v>19</v>
      </c>
      <c r="E169" s="4">
        <v>10.89</v>
      </c>
      <c r="F169" s="3">
        <v>30</v>
      </c>
      <c r="G169" s="3">
        <f t="shared" si="6"/>
        <v>326.70000000000005</v>
      </c>
      <c r="H169" s="3">
        <f t="shared" si="7"/>
        <v>16.335000000000004</v>
      </c>
      <c r="I169" s="7">
        <v>4.5</v>
      </c>
      <c r="J169" s="5">
        <f t="shared" si="8"/>
        <v>305.86500000000007</v>
      </c>
    </row>
    <row r="170" spans="1:10" x14ac:dyDescent="0.35">
      <c r="A170" s="3" t="s">
        <v>307</v>
      </c>
      <c r="B170" s="6">
        <v>43642</v>
      </c>
      <c r="C170" s="10" t="s">
        <v>589</v>
      </c>
      <c r="D170" s="3" t="s">
        <v>19</v>
      </c>
      <c r="E170" s="4">
        <v>34.76</v>
      </c>
      <c r="F170" s="3">
        <v>46</v>
      </c>
      <c r="G170" s="3">
        <f t="shared" si="6"/>
        <v>1598.9599999999998</v>
      </c>
      <c r="H170" s="3">
        <f t="shared" si="7"/>
        <v>79.947999999999993</v>
      </c>
      <c r="I170" s="7">
        <v>8.2200000000000006</v>
      </c>
      <c r="J170" s="5">
        <f t="shared" si="8"/>
        <v>1510.7919999999997</v>
      </c>
    </row>
    <row r="171" spans="1:10" x14ac:dyDescent="0.35">
      <c r="A171" s="3" t="s">
        <v>309</v>
      </c>
      <c r="B171" s="6">
        <v>43640</v>
      </c>
      <c r="C171" s="10" t="s">
        <v>589</v>
      </c>
      <c r="D171" s="3" t="s">
        <v>19</v>
      </c>
      <c r="E171" s="4">
        <v>300.97000000000003</v>
      </c>
      <c r="F171" s="3">
        <v>8</v>
      </c>
      <c r="G171" s="3">
        <f t="shared" si="6"/>
        <v>2407.7600000000002</v>
      </c>
      <c r="H171" s="3">
        <f t="shared" si="7"/>
        <v>120.38800000000002</v>
      </c>
      <c r="I171" s="7">
        <v>7.18</v>
      </c>
      <c r="J171" s="5">
        <f t="shared" si="8"/>
        <v>2280.1920000000005</v>
      </c>
    </row>
    <row r="172" spans="1:10" x14ac:dyDescent="0.35">
      <c r="A172" s="3" t="s">
        <v>311</v>
      </c>
      <c r="B172" s="6">
        <v>43638</v>
      </c>
      <c r="C172" s="10" t="s">
        <v>589</v>
      </c>
      <c r="D172" s="3" t="s">
        <v>19</v>
      </c>
      <c r="E172" s="4">
        <v>1.68</v>
      </c>
      <c r="F172" s="3">
        <v>6</v>
      </c>
      <c r="G172" s="3">
        <f t="shared" si="6"/>
        <v>10.08</v>
      </c>
      <c r="H172" s="3">
        <f t="shared" si="7"/>
        <v>0.504</v>
      </c>
      <c r="I172" s="7">
        <v>1.02</v>
      </c>
      <c r="J172" s="5">
        <f t="shared" si="8"/>
        <v>8.5560000000000009</v>
      </c>
    </row>
    <row r="173" spans="1:10" x14ac:dyDescent="0.35">
      <c r="A173" s="3" t="s">
        <v>313</v>
      </c>
      <c r="B173" s="6">
        <v>43636</v>
      </c>
      <c r="C173" s="10" t="s">
        <v>589</v>
      </c>
      <c r="D173" s="3" t="s">
        <v>19</v>
      </c>
      <c r="E173" s="4">
        <v>2.78</v>
      </c>
      <c r="F173" s="3">
        <v>39</v>
      </c>
      <c r="G173" s="3">
        <f t="shared" si="6"/>
        <v>108.41999999999999</v>
      </c>
      <c r="H173" s="3">
        <f t="shared" si="7"/>
        <v>5.4209999999999994</v>
      </c>
      <c r="I173" s="7">
        <v>1.2</v>
      </c>
      <c r="J173" s="5">
        <f t="shared" si="8"/>
        <v>101.79899999999999</v>
      </c>
    </row>
    <row r="174" spans="1:10" x14ac:dyDescent="0.35">
      <c r="A174" s="3" t="s">
        <v>315</v>
      </c>
      <c r="B174" s="6">
        <v>43634</v>
      </c>
      <c r="C174" s="10" t="s">
        <v>589</v>
      </c>
      <c r="D174" s="3" t="s">
        <v>19</v>
      </c>
      <c r="E174" s="4">
        <v>2.88</v>
      </c>
      <c r="F174" s="3">
        <v>28</v>
      </c>
      <c r="G174" s="3">
        <f t="shared" si="6"/>
        <v>80.64</v>
      </c>
      <c r="H174" s="3">
        <f t="shared" si="7"/>
        <v>4.032</v>
      </c>
      <c r="I174" s="7">
        <v>0.99</v>
      </c>
      <c r="J174" s="5">
        <f t="shared" si="8"/>
        <v>75.618000000000009</v>
      </c>
    </row>
    <row r="175" spans="1:10" x14ac:dyDescent="0.35">
      <c r="A175" s="3" t="s">
        <v>317</v>
      </c>
      <c r="B175" s="6">
        <v>43632</v>
      </c>
      <c r="C175" s="10" t="s">
        <v>589</v>
      </c>
      <c r="D175" s="3" t="s">
        <v>19</v>
      </c>
      <c r="E175" s="4">
        <v>9.11</v>
      </c>
      <c r="F175" s="3">
        <v>30</v>
      </c>
      <c r="G175" s="3">
        <f t="shared" si="6"/>
        <v>273.29999999999995</v>
      </c>
      <c r="H175" s="3">
        <f t="shared" si="7"/>
        <v>13.664999999999999</v>
      </c>
      <c r="I175" s="7">
        <v>2.25</v>
      </c>
      <c r="J175" s="5">
        <f t="shared" si="8"/>
        <v>257.38499999999993</v>
      </c>
    </row>
    <row r="176" spans="1:10" x14ac:dyDescent="0.35">
      <c r="A176" s="3" t="s">
        <v>319</v>
      </c>
      <c r="B176" s="6">
        <v>43630</v>
      </c>
      <c r="C176" s="10" t="s">
        <v>589</v>
      </c>
      <c r="D176" s="3" t="s">
        <v>19</v>
      </c>
      <c r="E176" s="4">
        <v>3.98</v>
      </c>
      <c r="F176" s="3">
        <v>11</v>
      </c>
      <c r="G176" s="3">
        <f t="shared" si="6"/>
        <v>43.78</v>
      </c>
      <c r="H176" s="3">
        <f t="shared" si="7"/>
        <v>2.1890000000000001</v>
      </c>
      <c r="I176" s="7">
        <v>2.97</v>
      </c>
      <c r="J176" s="5">
        <f t="shared" si="8"/>
        <v>38.621000000000002</v>
      </c>
    </row>
    <row r="177" spans="1:10" x14ac:dyDescent="0.35">
      <c r="A177" s="3" t="s">
        <v>321</v>
      </c>
      <c r="B177" s="6">
        <v>43628</v>
      </c>
      <c r="C177" s="10" t="s">
        <v>589</v>
      </c>
      <c r="D177" s="3" t="s">
        <v>19</v>
      </c>
      <c r="E177" s="4">
        <v>2.78</v>
      </c>
      <c r="F177" s="3">
        <v>21</v>
      </c>
      <c r="G177" s="3">
        <f t="shared" si="6"/>
        <v>58.379999999999995</v>
      </c>
      <c r="H177" s="3">
        <f t="shared" si="7"/>
        <v>2.919</v>
      </c>
      <c r="I177" s="7">
        <v>1.34</v>
      </c>
      <c r="J177" s="5">
        <f t="shared" si="8"/>
        <v>54.120999999999995</v>
      </c>
    </row>
    <row r="178" spans="1:10" x14ac:dyDescent="0.35">
      <c r="A178" s="3" t="s">
        <v>323</v>
      </c>
      <c r="B178" s="6">
        <v>43626</v>
      </c>
      <c r="C178" s="10" t="s">
        <v>589</v>
      </c>
      <c r="D178" s="3" t="s">
        <v>19</v>
      </c>
      <c r="E178" s="4">
        <v>10.23</v>
      </c>
      <c r="F178" s="3">
        <v>16</v>
      </c>
      <c r="G178" s="3">
        <f t="shared" si="6"/>
        <v>163.68</v>
      </c>
      <c r="H178" s="3">
        <f t="shared" si="7"/>
        <v>8.1840000000000011</v>
      </c>
      <c r="I178" s="7">
        <v>4.68</v>
      </c>
      <c r="J178" s="5">
        <f t="shared" si="8"/>
        <v>150.816</v>
      </c>
    </row>
    <row r="179" spans="1:10" x14ac:dyDescent="0.35">
      <c r="A179" s="3" t="s">
        <v>325</v>
      </c>
      <c r="B179" s="6">
        <v>43624</v>
      </c>
      <c r="C179" s="10" t="s">
        <v>589</v>
      </c>
      <c r="D179" s="3" t="s">
        <v>19</v>
      </c>
      <c r="E179" s="4">
        <v>6.47</v>
      </c>
      <c r="F179" s="3">
        <v>22</v>
      </c>
      <c r="G179" s="3">
        <f t="shared" si="6"/>
        <v>142.34</v>
      </c>
      <c r="H179" s="3">
        <f t="shared" si="7"/>
        <v>7.1170000000000009</v>
      </c>
      <c r="I179" s="7">
        <v>1.22</v>
      </c>
      <c r="J179" s="5">
        <f t="shared" si="8"/>
        <v>134.00300000000001</v>
      </c>
    </row>
    <row r="180" spans="1:10" x14ac:dyDescent="0.35">
      <c r="A180" s="3" t="s">
        <v>327</v>
      </c>
      <c r="B180" s="6">
        <v>43622</v>
      </c>
      <c r="C180" s="10" t="s">
        <v>589</v>
      </c>
      <c r="D180" s="3" t="s">
        <v>19</v>
      </c>
      <c r="E180" s="4">
        <v>10.23</v>
      </c>
      <c r="F180" s="3">
        <v>46</v>
      </c>
      <c r="G180" s="3">
        <f t="shared" si="6"/>
        <v>470.58000000000004</v>
      </c>
      <c r="H180" s="3">
        <f t="shared" si="7"/>
        <v>23.529000000000003</v>
      </c>
      <c r="I180" s="7">
        <v>4.68</v>
      </c>
      <c r="J180" s="5">
        <f t="shared" si="8"/>
        <v>442.37100000000004</v>
      </c>
    </row>
    <row r="181" spans="1:10" x14ac:dyDescent="0.35">
      <c r="A181" s="3" t="s">
        <v>329</v>
      </c>
      <c r="B181" s="6">
        <v>43620</v>
      </c>
      <c r="C181" s="10" t="s">
        <v>589</v>
      </c>
      <c r="D181" s="3" t="s">
        <v>19</v>
      </c>
      <c r="E181" s="4">
        <v>1.48</v>
      </c>
      <c r="F181" s="3">
        <v>19</v>
      </c>
      <c r="G181" s="3">
        <f t="shared" si="6"/>
        <v>28.12</v>
      </c>
      <c r="H181" s="3">
        <f t="shared" si="7"/>
        <v>1.4060000000000001</v>
      </c>
      <c r="I181" s="7">
        <v>0.7</v>
      </c>
      <c r="J181" s="5">
        <f t="shared" si="8"/>
        <v>26.014000000000003</v>
      </c>
    </row>
    <row r="182" spans="1:10" x14ac:dyDescent="0.35">
      <c r="A182" s="3" t="s">
        <v>331</v>
      </c>
      <c r="B182" s="6">
        <v>43618</v>
      </c>
      <c r="C182" s="10" t="s">
        <v>589</v>
      </c>
      <c r="D182" s="3" t="s">
        <v>19</v>
      </c>
      <c r="E182" s="4">
        <v>6.68</v>
      </c>
      <c r="F182" s="3">
        <v>12</v>
      </c>
      <c r="G182" s="3">
        <f t="shared" si="6"/>
        <v>80.16</v>
      </c>
      <c r="H182" s="3">
        <f t="shared" si="7"/>
        <v>4.008</v>
      </c>
      <c r="I182" s="7">
        <v>1.5</v>
      </c>
      <c r="J182" s="5">
        <f t="shared" si="8"/>
        <v>74.652000000000001</v>
      </c>
    </row>
    <row r="183" spans="1:10" x14ac:dyDescent="0.35">
      <c r="A183" s="3" t="s">
        <v>333</v>
      </c>
      <c r="B183" s="6">
        <v>43616</v>
      </c>
      <c r="C183" s="10" t="s">
        <v>589</v>
      </c>
      <c r="D183" s="3" t="s">
        <v>19</v>
      </c>
      <c r="E183" s="4">
        <v>90.48</v>
      </c>
      <c r="F183" s="3">
        <v>49</v>
      </c>
      <c r="G183" s="3">
        <f t="shared" si="6"/>
        <v>4433.5200000000004</v>
      </c>
      <c r="H183" s="3">
        <f t="shared" si="7"/>
        <v>221.67600000000004</v>
      </c>
      <c r="I183" s="7">
        <v>19.989999999999998</v>
      </c>
      <c r="J183" s="5">
        <f t="shared" si="8"/>
        <v>4191.8540000000003</v>
      </c>
    </row>
    <row r="184" spans="1:10" x14ac:dyDescent="0.35">
      <c r="A184" s="3" t="s">
        <v>335</v>
      </c>
      <c r="B184" s="6">
        <v>43614</v>
      </c>
      <c r="C184" s="10" t="s">
        <v>589</v>
      </c>
      <c r="D184" s="3" t="s">
        <v>19</v>
      </c>
      <c r="E184" s="4">
        <v>2.88</v>
      </c>
      <c r="F184" s="3">
        <v>17</v>
      </c>
      <c r="G184" s="3">
        <f t="shared" si="6"/>
        <v>48.96</v>
      </c>
      <c r="H184" s="3">
        <f t="shared" si="7"/>
        <v>2.4480000000000004</v>
      </c>
      <c r="I184" s="7">
        <v>1.01</v>
      </c>
      <c r="J184" s="5">
        <f t="shared" si="8"/>
        <v>45.502000000000002</v>
      </c>
    </row>
    <row r="185" spans="1:10" x14ac:dyDescent="0.35">
      <c r="A185" s="3" t="s">
        <v>337</v>
      </c>
      <c r="B185" s="6">
        <v>43612</v>
      </c>
      <c r="C185" s="10" t="s">
        <v>589</v>
      </c>
      <c r="D185" s="3" t="s">
        <v>19</v>
      </c>
      <c r="E185" s="4">
        <v>300.97000000000003</v>
      </c>
      <c r="F185" s="3">
        <v>23</v>
      </c>
      <c r="G185" s="3">
        <f t="shared" si="6"/>
        <v>6922.31</v>
      </c>
      <c r="H185" s="3">
        <f t="shared" si="7"/>
        <v>346.11550000000005</v>
      </c>
      <c r="I185" s="7">
        <v>7.18</v>
      </c>
      <c r="J185" s="5">
        <f t="shared" si="8"/>
        <v>6569.0145000000002</v>
      </c>
    </row>
    <row r="186" spans="1:10" x14ac:dyDescent="0.35">
      <c r="A186" s="3" t="s">
        <v>339</v>
      </c>
      <c r="B186" s="6">
        <v>43610</v>
      </c>
      <c r="C186" s="10" t="s">
        <v>589</v>
      </c>
      <c r="D186" s="3" t="s">
        <v>19</v>
      </c>
      <c r="E186" s="4">
        <v>7.3</v>
      </c>
      <c r="F186" s="3">
        <v>34</v>
      </c>
      <c r="G186" s="3">
        <f t="shared" si="6"/>
        <v>248.2</v>
      </c>
      <c r="H186" s="3">
        <f t="shared" si="7"/>
        <v>12.41</v>
      </c>
      <c r="I186" s="7">
        <v>7.72</v>
      </c>
      <c r="J186" s="5">
        <f t="shared" si="8"/>
        <v>228.07</v>
      </c>
    </row>
    <row r="187" spans="1:10" x14ac:dyDescent="0.35">
      <c r="A187" s="3" t="s">
        <v>341</v>
      </c>
      <c r="B187" s="6">
        <v>43608</v>
      </c>
      <c r="C187" s="10" t="s">
        <v>589</v>
      </c>
      <c r="D187" s="3" t="s">
        <v>19</v>
      </c>
      <c r="E187" s="4">
        <v>3.49</v>
      </c>
      <c r="F187" s="3">
        <v>3</v>
      </c>
      <c r="G187" s="3">
        <f t="shared" si="6"/>
        <v>10.47</v>
      </c>
      <c r="H187" s="3">
        <f t="shared" si="7"/>
        <v>0.52350000000000008</v>
      </c>
      <c r="I187" s="7">
        <v>0.76</v>
      </c>
      <c r="J187" s="5">
        <f t="shared" si="8"/>
        <v>9.1865000000000006</v>
      </c>
    </row>
    <row r="188" spans="1:10" x14ac:dyDescent="0.35">
      <c r="A188" s="3" t="s">
        <v>343</v>
      </c>
      <c r="B188" s="6">
        <v>43606</v>
      </c>
      <c r="C188" s="10" t="s">
        <v>589</v>
      </c>
      <c r="D188" s="3" t="s">
        <v>19</v>
      </c>
      <c r="E188" s="4">
        <v>1.98</v>
      </c>
      <c r="F188" s="3">
        <v>4</v>
      </c>
      <c r="G188" s="3">
        <f t="shared" si="6"/>
        <v>7.92</v>
      </c>
      <c r="H188" s="3">
        <f t="shared" si="7"/>
        <v>0.39600000000000002</v>
      </c>
      <c r="I188" s="7">
        <v>4.7699999999999996</v>
      </c>
      <c r="J188" s="5">
        <f t="shared" si="8"/>
        <v>2.7540000000000004</v>
      </c>
    </row>
    <row r="189" spans="1:10" x14ac:dyDescent="0.35">
      <c r="A189" s="3" t="s">
        <v>345</v>
      </c>
      <c r="B189" s="6">
        <v>43604</v>
      </c>
      <c r="C189" s="10" t="s">
        <v>589</v>
      </c>
      <c r="D189" s="3" t="s">
        <v>19</v>
      </c>
      <c r="E189" s="4">
        <v>5.43</v>
      </c>
      <c r="F189" s="3">
        <v>11</v>
      </c>
      <c r="G189" s="3">
        <f t="shared" si="6"/>
        <v>59.73</v>
      </c>
      <c r="H189" s="3">
        <f t="shared" si="7"/>
        <v>2.9864999999999999</v>
      </c>
      <c r="I189" s="7">
        <v>0.95</v>
      </c>
      <c r="J189" s="5">
        <f t="shared" si="8"/>
        <v>55.793499999999995</v>
      </c>
    </row>
    <row r="190" spans="1:10" x14ac:dyDescent="0.35">
      <c r="A190" s="3" t="s">
        <v>554</v>
      </c>
      <c r="B190" s="6">
        <v>42995</v>
      </c>
      <c r="C190" s="10" t="s">
        <v>589</v>
      </c>
      <c r="D190" s="3" t="s">
        <v>27</v>
      </c>
      <c r="E190" s="4">
        <v>5.4</v>
      </c>
      <c r="F190" s="3">
        <v>26</v>
      </c>
      <c r="G190" s="3">
        <f t="shared" si="6"/>
        <v>140.4</v>
      </c>
      <c r="H190" s="3">
        <f t="shared" si="7"/>
        <v>7.0200000000000005</v>
      </c>
      <c r="I190" s="7">
        <v>7.78</v>
      </c>
      <c r="J190" s="5">
        <f t="shared" si="8"/>
        <v>125.6</v>
      </c>
    </row>
    <row r="191" spans="1:10" x14ac:dyDescent="0.35">
      <c r="A191" s="3" t="s">
        <v>557</v>
      </c>
      <c r="B191" s="6">
        <v>42989</v>
      </c>
      <c r="C191" s="10" t="s">
        <v>589</v>
      </c>
      <c r="D191" s="3" t="s">
        <v>27</v>
      </c>
      <c r="E191" s="4">
        <v>5.18</v>
      </c>
      <c r="F191" s="3">
        <v>1</v>
      </c>
      <c r="G191" s="3">
        <f t="shared" si="6"/>
        <v>5.18</v>
      </c>
      <c r="H191" s="3">
        <f t="shared" si="7"/>
        <v>0.25900000000000001</v>
      </c>
      <c r="I191" s="7">
        <v>2.04</v>
      </c>
      <c r="J191" s="5">
        <f t="shared" si="8"/>
        <v>2.8809999999999993</v>
      </c>
    </row>
    <row r="192" spans="1:10" x14ac:dyDescent="0.35">
      <c r="A192" s="3" t="s">
        <v>559</v>
      </c>
      <c r="B192" s="6">
        <v>42983</v>
      </c>
      <c r="C192" s="10" t="s">
        <v>589</v>
      </c>
      <c r="D192" s="3" t="s">
        <v>9</v>
      </c>
      <c r="E192" s="4">
        <v>5.4</v>
      </c>
      <c r="F192" s="3">
        <v>25</v>
      </c>
      <c r="G192" s="3">
        <f t="shared" si="6"/>
        <v>135</v>
      </c>
      <c r="H192" s="3">
        <f t="shared" si="7"/>
        <v>6.75</v>
      </c>
      <c r="I192" s="7">
        <v>7.78</v>
      </c>
      <c r="J192" s="5">
        <f t="shared" si="8"/>
        <v>120.47</v>
      </c>
    </row>
    <row r="193" spans="1:10" x14ac:dyDescent="0.35">
      <c r="A193" s="3" t="s">
        <v>562</v>
      </c>
      <c r="B193" s="6">
        <v>42976</v>
      </c>
      <c r="C193" s="10" t="s">
        <v>589</v>
      </c>
      <c r="D193" s="3" t="s">
        <v>9</v>
      </c>
      <c r="E193" s="4">
        <v>30.98</v>
      </c>
      <c r="F193" s="3">
        <v>49</v>
      </c>
      <c r="G193" s="3">
        <f t="shared" si="6"/>
        <v>1518.02</v>
      </c>
      <c r="H193" s="3">
        <f t="shared" si="7"/>
        <v>75.900999999999996</v>
      </c>
      <c r="I193" s="7">
        <v>19.510000000000002</v>
      </c>
      <c r="J193" s="5">
        <f t="shared" si="8"/>
        <v>1422.6089999999999</v>
      </c>
    </row>
    <row r="194" spans="1:10" x14ac:dyDescent="0.35">
      <c r="A194" s="3" t="s">
        <v>563</v>
      </c>
      <c r="B194" s="6">
        <v>42969</v>
      </c>
      <c r="C194" s="10" t="s">
        <v>589</v>
      </c>
      <c r="D194" s="3" t="s">
        <v>9</v>
      </c>
      <c r="E194" s="4">
        <v>3.38</v>
      </c>
      <c r="F194" s="3">
        <v>34</v>
      </c>
      <c r="G194" s="3">
        <f t="shared" si="6"/>
        <v>114.92</v>
      </c>
      <c r="H194" s="3">
        <f t="shared" si="7"/>
        <v>5.7460000000000004</v>
      </c>
      <c r="I194" s="7">
        <v>0.85</v>
      </c>
      <c r="J194" s="5">
        <f t="shared" si="8"/>
        <v>108.32400000000001</v>
      </c>
    </row>
    <row r="195" spans="1:10" x14ac:dyDescent="0.35">
      <c r="A195" s="3" t="s">
        <v>568</v>
      </c>
      <c r="B195" s="6">
        <v>42963</v>
      </c>
      <c r="C195" s="10" t="s">
        <v>589</v>
      </c>
      <c r="D195" s="3" t="s">
        <v>27</v>
      </c>
      <c r="E195" s="4">
        <v>19.98</v>
      </c>
      <c r="F195" s="3">
        <v>13</v>
      </c>
      <c r="G195" s="3">
        <f t="shared" ref="G195:G258" si="9">E195*F195</f>
        <v>259.74</v>
      </c>
      <c r="H195" s="3">
        <f t="shared" ref="H195:H258" si="10">G195*5%</f>
        <v>12.987000000000002</v>
      </c>
      <c r="I195" s="7">
        <v>5.77</v>
      </c>
      <c r="J195" s="5">
        <f t="shared" ref="J195:J258" si="11">G195-H195-I195</f>
        <v>240.983</v>
      </c>
    </row>
    <row r="196" spans="1:10" x14ac:dyDescent="0.35">
      <c r="A196" s="3" t="s">
        <v>577</v>
      </c>
      <c r="B196" s="6">
        <v>42954</v>
      </c>
      <c r="C196" s="10" t="s">
        <v>589</v>
      </c>
      <c r="D196" s="3" t="s">
        <v>9</v>
      </c>
      <c r="E196" s="4">
        <v>20.98</v>
      </c>
      <c r="F196" s="3">
        <v>47</v>
      </c>
      <c r="G196" s="3">
        <f t="shared" si="9"/>
        <v>986.06000000000006</v>
      </c>
      <c r="H196" s="3">
        <f t="shared" si="10"/>
        <v>49.303000000000004</v>
      </c>
      <c r="I196" s="7">
        <v>1.49</v>
      </c>
      <c r="J196" s="5">
        <f t="shared" si="11"/>
        <v>935.26700000000005</v>
      </c>
    </row>
    <row r="197" spans="1:10" x14ac:dyDescent="0.35">
      <c r="A197" s="3" t="s">
        <v>580</v>
      </c>
      <c r="B197" s="6">
        <v>42951</v>
      </c>
      <c r="C197" s="10" t="s">
        <v>589</v>
      </c>
      <c r="D197" s="3" t="s">
        <v>9</v>
      </c>
      <c r="E197" s="4">
        <v>90.48</v>
      </c>
      <c r="F197" s="3">
        <v>11</v>
      </c>
      <c r="G197" s="3">
        <f t="shared" si="9"/>
        <v>995.28000000000009</v>
      </c>
      <c r="H197" s="3">
        <f t="shared" si="10"/>
        <v>49.76400000000001</v>
      </c>
      <c r="I197" s="7">
        <v>19.989999999999998</v>
      </c>
      <c r="J197" s="5">
        <f t="shared" si="11"/>
        <v>925.52600000000007</v>
      </c>
    </row>
    <row r="198" spans="1:10" x14ac:dyDescent="0.35">
      <c r="A198" s="3" t="s">
        <v>582</v>
      </c>
      <c r="B198" s="6">
        <v>42949</v>
      </c>
      <c r="C198" s="10" t="s">
        <v>589</v>
      </c>
      <c r="D198" s="3" t="s">
        <v>9</v>
      </c>
      <c r="E198" s="4">
        <v>22.38</v>
      </c>
      <c r="F198" s="3">
        <v>26</v>
      </c>
      <c r="G198" s="3">
        <f t="shared" si="9"/>
        <v>581.88</v>
      </c>
      <c r="H198" s="3">
        <f t="shared" si="10"/>
        <v>29.094000000000001</v>
      </c>
      <c r="I198" s="7">
        <v>15.1</v>
      </c>
      <c r="J198" s="5">
        <f t="shared" si="11"/>
        <v>537.68599999999992</v>
      </c>
    </row>
    <row r="199" spans="1:10" x14ac:dyDescent="0.35">
      <c r="A199" s="3" t="s">
        <v>584</v>
      </c>
      <c r="B199" s="6">
        <v>42947</v>
      </c>
      <c r="C199" s="10" t="s">
        <v>589</v>
      </c>
      <c r="D199" s="3" t="s">
        <v>27</v>
      </c>
      <c r="E199" s="4">
        <v>4</v>
      </c>
      <c r="F199" s="3">
        <v>19</v>
      </c>
      <c r="G199" s="3">
        <f t="shared" si="9"/>
        <v>76</v>
      </c>
      <c r="H199" s="3">
        <f t="shared" si="10"/>
        <v>3.8000000000000003</v>
      </c>
      <c r="I199" s="7">
        <v>1.3</v>
      </c>
      <c r="J199" s="5">
        <f t="shared" si="11"/>
        <v>70.900000000000006</v>
      </c>
    </row>
    <row r="200" spans="1:10" x14ac:dyDescent="0.35">
      <c r="A200" s="3" t="s">
        <v>586</v>
      </c>
      <c r="B200" s="6">
        <v>42945</v>
      </c>
      <c r="C200" s="10" t="s">
        <v>589</v>
      </c>
      <c r="D200" s="3" t="s">
        <v>27</v>
      </c>
      <c r="E200" s="4">
        <v>20.99</v>
      </c>
      <c r="F200" s="3">
        <v>8</v>
      </c>
      <c r="G200" s="3">
        <f t="shared" si="9"/>
        <v>167.92</v>
      </c>
      <c r="H200" s="3">
        <f t="shared" si="10"/>
        <v>8.395999999999999</v>
      </c>
      <c r="I200" s="7">
        <v>4.8099999999999996</v>
      </c>
      <c r="J200" s="5">
        <f t="shared" si="11"/>
        <v>154.714</v>
      </c>
    </row>
    <row r="201" spans="1:10" x14ac:dyDescent="0.35">
      <c r="A201" s="3" t="s">
        <v>7</v>
      </c>
      <c r="B201" s="6">
        <v>43938</v>
      </c>
      <c r="C201" s="10" t="s">
        <v>8</v>
      </c>
      <c r="D201" s="3" t="s">
        <v>9</v>
      </c>
      <c r="E201" s="4">
        <v>90.48</v>
      </c>
      <c r="F201" s="3">
        <v>16</v>
      </c>
      <c r="G201" s="3">
        <f t="shared" si="9"/>
        <v>1447.68</v>
      </c>
      <c r="H201" s="3">
        <f t="shared" si="10"/>
        <v>72.384</v>
      </c>
      <c r="I201" s="7">
        <v>19.989999999999998</v>
      </c>
      <c r="J201" s="5">
        <f t="shared" si="11"/>
        <v>1355.306</v>
      </c>
    </row>
    <row r="202" spans="1:10" x14ac:dyDescent="0.35">
      <c r="A202" s="3" t="s">
        <v>14</v>
      </c>
      <c r="B202" s="6">
        <v>43934</v>
      </c>
      <c r="C202" s="10" t="s">
        <v>8</v>
      </c>
      <c r="D202" s="3" t="s">
        <v>9</v>
      </c>
      <c r="E202" s="4">
        <v>20.98</v>
      </c>
      <c r="F202" s="3">
        <v>41</v>
      </c>
      <c r="G202" s="3">
        <f t="shared" si="9"/>
        <v>860.18000000000006</v>
      </c>
      <c r="H202" s="3">
        <f t="shared" si="10"/>
        <v>43.009000000000007</v>
      </c>
      <c r="I202" s="7">
        <v>1.49</v>
      </c>
      <c r="J202" s="5">
        <f t="shared" si="11"/>
        <v>815.68100000000004</v>
      </c>
    </row>
    <row r="203" spans="1:10" x14ac:dyDescent="0.35">
      <c r="A203" s="3" t="s">
        <v>17</v>
      </c>
      <c r="B203" s="6">
        <v>43931</v>
      </c>
      <c r="C203" s="10" t="s">
        <v>8</v>
      </c>
      <c r="D203" s="3" t="s">
        <v>9</v>
      </c>
      <c r="E203" s="4">
        <v>3.57</v>
      </c>
      <c r="F203" s="3">
        <v>25</v>
      </c>
      <c r="G203" s="3">
        <f t="shared" si="9"/>
        <v>89.25</v>
      </c>
      <c r="H203" s="3">
        <f t="shared" si="10"/>
        <v>4.4625000000000004</v>
      </c>
      <c r="I203" s="7">
        <v>4.17</v>
      </c>
      <c r="J203" s="5">
        <f t="shared" si="11"/>
        <v>80.617499999999993</v>
      </c>
    </row>
    <row r="204" spans="1:10" x14ac:dyDescent="0.35">
      <c r="A204" s="3" t="s">
        <v>20</v>
      </c>
      <c r="B204" s="6">
        <v>43929</v>
      </c>
      <c r="C204" s="10" t="s">
        <v>8</v>
      </c>
      <c r="D204" s="3" t="s">
        <v>9</v>
      </c>
      <c r="E204" s="4">
        <v>6.23</v>
      </c>
      <c r="F204" s="3">
        <v>25</v>
      </c>
      <c r="G204" s="3">
        <f t="shared" si="9"/>
        <v>155.75</v>
      </c>
      <c r="H204" s="3">
        <f t="shared" si="10"/>
        <v>7.7875000000000005</v>
      </c>
      <c r="I204" s="7">
        <v>6.97</v>
      </c>
      <c r="J204" s="5">
        <f t="shared" si="11"/>
        <v>140.99250000000001</v>
      </c>
    </row>
    <row r="205" spans="1:10" x14ac:dyDescent="0.35">
      <c r="A205" s="3" t="s">
        <v>22</v>
      </c>
      <c r="B205" s="6">
        <v>43927</v>
      </c>
      <c r="C205" s="10" t="s">
        <v>8</v>
      </c>
      <c r="D205" s="3" t="s">
        <v>9</v>
      </c>
      <c r="E205" s="4">
        <v>5.74</v>
      </c>
      <c r="F205" s="3">
        <v>46</v>
      </c>
      <c r="G205" s="3">
        <f t="shared" si="9"/>
        <v>264.04000000000002</v>
      </c>
      <c r="H205" s="3">
        <f t="shared" si="10"/>
        <v>13.202000000000002</v>
      </c>
      <c r="I205" s="7">
        <v>5.01</v>
      </c>
      <c r="J205" s="5">
        <f t="shared" si="11"/>
        <v>245.82800000000003</v>
      </c>
    </row>
    <row r="206" spans="1:10" x14ac:dyDescent="0.35">
      <c r="A206" s="3" t="s">
        <v>24</v>
      </c>
      <c r="B206" s="6">
        <v>43925</v>
      </c>
      <c r="C206" s="10" t="s">
        <v>8</v>
      </c>
      <c r="D206" s="3" t="s">
        <v>9</v>
      </c>
      <c r="E206" s="4">
        <v>7.28</v>
      </c>
      <c r="F206" s="3">
        <v>24</v>
      </c>
      <c r="G206" s="3">
        <f t="shared" si="9"/>
        <v>174.72</v>
      </c>
      <c r="H206" s="3">
        <f t="shared" si="10"/>
        <v>8.7360000000000007</v>
      </c>
      <c r="I206" s="7">
        <v>11.15</v>
      </c>
      <c r="J206" s="5">
        <f t="shared" si="11"/>
        <v>154.834</v>
      </c>
    </row>
    <row r="207" spans="1:10" x14ac:dyDescent="0.35">
      <c r="A207" s="3" t="s">
        <v>25</v>
      </c>
      <c r="B207" s="6">
        <v>43924</v>
      </c>
      <c r="C207" s="10" t="s">
        <v>8</v>
      </c>
      <c r="D207" s="3" t="s">
        <v>9</v>
      </c>
      <c r="E207" s="4">
        <v>20.99</v>
      </c>
      <c r="F207" s="3">
        <v>29</v>
      </c>
      <c r="G207" s="3">
        <f t="shared" si="9"/>
        <v>608.70999999999992</v>
      </c>
      <c r="H207" s="3">
        <f t="shared" si="10"/>
        <v>30.435499999999998</v>
      </c>
      <c r="I207" s="7">
        <v>4.8099999999999996</v>
      </c>
      <c r="J207" s="5">
        <f t="shared" si="11"/>
        <v>573.46449999999993</v>
      </c>
    </row>
    <row r="208" spans="1:10" x14ac:dyDescent="0.35">
      <c r="A208" s="3" t="s">
        <v>26</v>
      </c>
      <c r="B208" s="6">
        <v>43923</v>
      </c>
      <c r="C208" s="10" t="s">
        <v>8</v>
      </c>
      <c r="D208" s="3" t="s">
        <v>27</v>
      </c>
      <c r="E208" s="4">
        <v>12.98</v>
      </c>
      <c r="F208" s="3">
        <v>10</v>
      </c>
      <c r="G208" s="3">
        <f t="shared" si="9"/>
        <v>129.80000000000001</v>
      </c>
      <c r="H208" s="3">
        <f t="shared" si="10"/>
        <v>6.4900000000000011</v>
      </c>
      <c r="I208" s="7">
        <v>3.14</v>
      </c>
      <c r="J208" s="5">
        <f t="shared" si="11"/>
        <v>120.17000000000002</v>
      </c>
    </row>
    <row r="209" spans="1:10" x14ac:dyDescent="0.35">
      <c r="A209" s="3" t="s">
        <v>29</v>
      </c>
      <c r="B209" s="6">
        <v>43921</v>
      </c>
      <c r="C209" s="10" t="s">
        <v>8</v>
      </c>
      <c r="D209" s="3" t="s">
        <v>27</v>
      </c>
      <c r="E209" s="4">
        <v>1.1399999999999999</v>
      </c>
      <c r="F209" s="3">
        <v>14</v>
      </c>
      <c r="G209" s="3">
        <f t="shared" si="9"/>
        <v>15.959999999999999</v>
      </c>
      <c r="H209" s="3">
        <f t="shared" si="10"/>
        <v>0.79800000000000004</v>
      </c>
      <c r="I209" s="7">
        <v>0.7</v>
      </c>
      <c r="J209" s="5">
        <f t="shared" si="11"/>
        <v>14.462</v>
      </c>
    </row>
    <row r="210" spans="1:10" x14ac:dyDescent="0.35">
      <c r="A210" s="3" t="s">
        <v>31</v>
      </c>
      <c r="B210" s="6">
        <v>43919</v>
      </c>
      <c r="C210" s="10" t="s">
        <v>8</v>
      </c>
      <c r="D210" s="3" t="s">
        <v>9</v>
      </c>
      <c r="E210" s="4">
        <v>3.58</v>
      </c>
      <c r="F210" s="3">
        <v>38</v>
      </c>
      <c r="G210" s="3">
        <f t="shared" si="9"/>
        <v>136.04</v>
      </c>
      <c r="H210" s="3">
        <f t="shared" si="10"/>
        <v>6.8019999999999996</v>
      </c>
      <c r="I210" s="7">
        <v>5.47</v>
      </c>
      <c r="J210" s="5">
        <f t="shared" si="11"/>
        <v>123.768</v>
      </c>
    </row>
    <row r="211" spans="1:10" x14ac:dyDescent="0.35">
      <c r="A211" s="3" t="s">
        <v>32</v>
      </c>
      <c r="B211" s="6">
        <v>43918</v>
      </c>
      <c r="C211" s="10" t="s">
        <v>8</v>
      </c>
      <c r="D211" s="3" t="s">
        <v>9</v>
      </c>
      <c r="E211" s="4">
        <v>12.98</v>
      </c>
      <c r="F211" s="3">
        <v>49</v>
      </c>
      <c r="G211" s="3">
        <f t="shared" si="9"/>
        <v>636.02</v>
      </c>
      <c r="H211" s="3">
        <f t="shared" si="10"/>
        <v>31.801000000000002</v>
      </c>
      <c r="I211" s="7">
        <v>3.14</v>
      </c>
      <c r="J211" s="5">
        <f t="shared" si="11"/>
        <v>601.07899999999995</v>
      </c>
    </row>
    <row r="212" spans="1:10" x14ac:dyDescent="0.35">
      <c r="A212" s="3" t="s">
        <v>33</v>
      </c>
      <c r="B212" s="6">
        <v>43917</v>
      </c>
      <c r="C212" s="10" t="s">
        <v>8</v>
      </c>
      <c r="D212" s="3" t="s">
        <v>9</v>
      </c>
      <c r="E212" s="4">
        <v>2.88</v>
      </c>
      <c r="F212" s="3">
        <v>22</v>
      </c>
      <c r="G212" s="3">
        <f t="shared" si="9"/>
        <v>63.36</v>
      </c>
      <c r="H212" s="3">
        <f t="shared" si="10"/>
        <v>3.1680000000000001</v>
      </c>
      <c r="I212" s="7">
        <v>0.99</v>
      </c>
      <c r="J212" s="5">
        <f t="shared" si="11"/>
        <v>59.201999999999998</v>
      </c>
    </row>
    <row r="213" spans="1:10" x14ac:dyDescent="0.35">
      <c r="A213" s="3" t="s">
        <v>34</v>
      </c>
      <c r="B213" s="6">
        <v>43916</v>
      </c>
      <c r="C213" s="10" t="s">
        <v>8</v>
      </c>
      <c r="D213" s="3" t="s">
        <v>9</v>
      </c>
      <c r="E213" s="4">
        <v>100.98</v>
      </c>
      <c r="F213" s="3">
        <v>12</v>
      </c>
      <c r="G213" s="3">
        <f t="shared" si="9"/>
        <v>1211.76</v>
      </c>
      <c r="H213" s="3">
        <f t="shared" si="10"/>
        <v>60.588000000000001</v>
      </c>
      <c r="I213" s="7">
        <v>7.18</v>
      </c>
      <c r="J213" s="5">
        <f t="shared" si="11"/>
        <v>1143.992</v>
      </c>
    </row>
    <row r="214" spans="1:10" x14ac:dyDescent="0.35">
      <c r="A214" s="3" t="s">
        <v>36</v>
      </c>
      <c r="B214" s="6">
        <v>43914</v>
      </c>
      <c r="C214" s="10" t="s">
        <v>8</v>
      </c>
      <c r="D214" s="3" t="s">
        <v>9</v>
      </c>
      <c r="E214" s="4">
        <v>2.62</v>
      </c>
      <c r="F214" s="3">
        <v>35</v>
      </c>
      <c r="G214" s="3">
        <f t="shared" si="9"/>
        <v>91.7</v>
      </c>
      <c r="H214" s="3">
        <f t="shared" si="10"/>
        <v>4.585</v>
      </c>
      <c r="I214" s="7">
        <v>0.8</v>
      </c>
      <c r="J214" s="5">
        <f t="shared" si="11"/>
        <v>86.315000000000012</v>
      </c>
    </row>
    <row r="215" spans="1:10" x14ac:dyDescent="0.35">
      <c r="A215" s="3" t="s">
        <v>38</v>
      </c>
      <c r="B215" s="6">
        <v>43912</v>
      </c>
      <c r="C215" s="10" t="s">
        <v>8</v>
      </c>
      <c r="D215" s="3" t="s">
        <v>9</v>
      </c>
      <c r="E215" s="4">
        <v>1.88</v>
      </c>
      <c r="F215" s="3">
        <v>22</v>
      </c>
      <c r="G215" s="3">
        <f t="shared" si="9"/>
        <v>41.36</v>
      </c>
      <c r="H215" s="3">
        <f t="shared" si="10"/>
        <v>2.0680000000000001</v>
      </c>
      <c r="I215" s="7">
        <v>1.49</v>
      </c>
      <c r="J215" s="5">
        <f t="shared" si="11"/>
        <v>37.802</v>
      </c>
    </row>
    <row r="216" spans="1:10" x14ac:dyDescent="0.35">
      <c r="A216" s="3" t="s">
        <v>39</v>
      </c>
      <c r="B216" s="6">
        <v>43911</v>
      </c>
      <c r="C216" s="10" t="s">
        <v>8</v>
      </c>
      <c r="D216" s="3" t="s">
        <v>9</v>
      </c>
      <c r="E216" s="4">
        <v>5.77</v>
      </c>
      <c r="F216" s="3">
        <v>42</v>
      </c>
      <c r="G216" s="3">
        <f t="shared" si="9"/>
        <v>242.33999999999997</v>
      </c>
      <c r="H216" s="3">
        <f t="shared" si="10"/>
        <v>12.116999999999999</v>
      </c>
      <c r="I216" s="7">
        <v>4.97</v>
      </c>
      <c r="J216" s="5">
        <f t="shared" si="11"/>
        <v>225.25299999999999</v>
      </c>
    </row>
    <row r="217" spans="1:10" x14ac:dyDescent="0.35">
      <c r="A217" s="3" t="s">
        <v>69</v>
      </c>
      <c r="B217" s="6">
        <v>43881</v>
      </c>
      <c r="C217" s="10" t="s">
        <v>8</v>
      </c>
      <c r="D217" s="3" t="s">
        <v>9</v>
      </c>
      <c r="E217" s="4">
        <v>2.88</v>
      </c>
      <c r="F217" s="3">
        <v>6</v>
      </c>
      <c r="G217" s="3">
        <f t="shared" si="9"/>
        <v>17.28</v>
      </c>
      <c r="H217" s="3">
        <f t="shared" si="10"/>
        <v>0.8640000000000001</v>
      </c>
      <c r="I217" s="7">
        <v>0.99</v>
      </c>
      <c r="J217" s="5">
        <f t="shared" si="11"/>
        <v>15.426</v>
      </c>
    </row>
    <row r="218" spans="1:10" x14ac:dyDescent="0.35">
      <c r="A218" s="3" t="s">
        <v>70</v>
      </c>
      <c r="B218" s="6">
        <v>43880</v>
      </c>
      <c r="C218" s="10" t="s">
        <v>8</v>
      </c>
      <c r="D218" s="3" t="s">
        <v>9</v>
      </c>
      <c r="E218" s="4">
        <v>1.81</v>
      </c>
      <c r="F218" s="3">
        <v>18</v>
      </c>
      <c r="G218" s="3">
        <f t="shared" si="9"/>
        <v>32.58</v>
      </c>
      <c r="H218" s="3">
        <f t="shared" si="10"/>
        <v>1.629</v>
      </c>
      <c r="I218" s="7">
        <v>0.75</v>
      </c>
      <c r="J218" s="5">
        <f t="shared" si="11"/>
        <v>30.200999999999997</v>
      </c>
    </row>
    <row r="219" spans="1:10" x14ac:dyDescent="0.35">
      <c r="A219" s="3" t="s">
        <v>71</v>
      </c>
      <c r="B219" s="6">
        <v>43879</v>
      </c>
      <c r="C219" s="10" t="s">
        <v>8</v>
      </c>
      <c r="D219" s="3" t="s">
        <v>9</v>
      </c>
      <c r="E219" s="4">
        <v>7.08</v>
      </c>
      <c r="F219" s="3">
        <v>29</v>
      </c>
      <c r="G219" s="3">
        <f t="shared" si="9"/>
        <v>205.32</v>
      </c>
      <c r="H219" s="3">
        <f t="shared" si="10"/>
        <v>10.266</v>
      </c>
      <c r="I219" s="7">
        <v>2.35</v>
      </c>
      <c r="J219" s="5">
        <f t="shared" si="11"/>
        <v>192.70400000000001</v>
      </c>
    </row>
    <row r="220" spans="1:10" x14ac:dyDescent="0.35">
      <c r="A220" s="3" t="s">
        <v>72</v>
      </c>
      <c r="B220" s="6">
        <v>43878</v>
      </c>
      <c r="C220" s="10" t="s">
        <v>8</v>
      </c>
      <c r="D220" s="3" t="s">
        <v>9</v>
      </c>
      <c r="E220" s="4">
        <v>5.68</v>
      </c>
      <c r="F220" s="3">
        <v>10</v>
      </c>
      <c r="G220" s="3">
        <f t="shared" si="9"/>
        <v>56.8</v>
      </c>
      <c r="H220" s="3">
        <f t="shared" si="10"/>
        <v>2.84</v>
      </c>
      <c r="I220" s="7">
        <v>1.39</v>
      </c>
      <c r="J220" s="5">
        <f t="shared" si="11"/>
        <v>52.569999999999993</v>
      </c>
    </row>
    <row r="221" spans="1:10" x14ac:dyDescent="0.35">
      <c r="A221" s="3" t="s">
        <v>75</v>
      </c>
      <c r="B221" s="6">
        <v>43875</v>
      </c>
      <c r="C221" s="10" t="s">
        <v>8</v>
      </c>
      <c r="D221" s="3" t="s">
        <v>9</v>
      </c>
      <c r="E221" s="4">
        <v>16.98</v>
      </c>
      <c r="F221" s="3">
        <v>46</v>
      </c>
      <c r="G221" s="3">
        <f t="shared" si="9"/>
        <v>781.08</v>
      </c>
      <c r="H221" s="3">
        <f t="shared" si="10"/>
        <v>39.054000000000002</v>
      </c>
      <c r="I221" s="7">
        <v>12.39</v>
      </c>
      <c r="J221" s="5">
        <f t="shared" si="11"/>
        <v>729.63600000000008</v>
      </c>
    </row>
    <row r="222" spans="1:10" x14ac:dyDescent="0.35">
      <c r="A222" s="3" t="s">
        <v>76</v>
      </c>
      <c r="B222" s="6">
        <v>43874</v>
      </c>
      <c r="C222" s="10" t="s">
        <v>8</v>
      </c>
      <c r="D222" s="3" t="s">
        <v>9</v>
      </c>
      <c r="E222" s="4">
        <v>3.58</v>
      </c>
      <c r="F222" s="3">
        <v>32</v>
      </c>
      <c r="G222" s="3">
        <f t="shared" si="9"/>
        <v>114.56</v>
      </c>
      <c r="H222" s="3">
        <f t="shared" si="10"/>
        <v>5.7280000000000006</v>
      </c>
      <c r="I222" s="7">
        <v>1.63</v>
      </c>
      <c r="J222" s="5">
        <f t="shared" si="11"/>
        <v>107.20200000000001</v>
      </c>
    </row>
    <row r="223" spans="1:10" x14ac:dyDescent="0.35">
      <c r="A223" s="3" t="s">
        <v>77</v>
      </c>
      <c r="B223" s="6">
        <v>43873</v>
      </c>
      <c r="C223" s="10" t="s">
        <v>8</v>
      </c>
      <c r="D223" s="3" t="s">
        <v>9</v>
      </c>
      <c r="E223" s="4">
        <v>2.6</v>
      </c>
      <c r="F223" s="3">
        <v>11</v>
      </c>
      <c r="G223" s="3">
        <f t="shared" si="9"/>
        <v>28.6</v>
      </c>
      <c r="H223" s="3">
        <f t="shared" si="10"/>
        <v>1.4300000000000002</v>
      </c>
      <c r="I223" s="7">
        <v>2.4</v>
      </c>
      <c r="J223" s="5">
        <f t="shared" si="11"/>
        <v>24.770000000000003</v>
      </c>
    </row>
    <row r="224" spans="1:10" x14ac:dyDescent="0.35">
      <c r="A224" s="3" t="s">
        <v>78</v>
      </c>
      <c r="B224" s="6">
        <v>43872</v>
      </c>
      <c r="C224" s="10" t="s">
        <v>8</v>
      </c>
      <c r="D224" s="3" t="s">
        <v>9</v>
      </c>
      <c r="E224" s="4">
        <v>3.15</v>
      </c>
      <c r="F224" s="3">
        <v>41</v>
      </c>
      <c r="G224" s="3">
        <f t="shared" si="9"/>
        <v>129.15</v>
      </c>
      <c r="H224" s="3">
        <f t="shared" si="10"/>
        <v>6.4575000000000005</v>
      </c>
      <c r="I224" s="7">
        <v>0.49</v>
      </c>
      <c r="J224" s="5">
        <f t="shared" si="11"/>
        <v>122.20250000000001</v>
      </c>
    </row>
    <row r="225" spans="1:10" x14ac:dyDescent="0.35">
      <c r="A225" s="3" t="s">
        <v>79</v>
      </c>
      <c r="B225" s="6">
        <v>43871</v>
      </c>
      <c r="C225" s="10" t="s">
        <v>8</v>
      </c>
      <c r="D225" s="3" t="s">
        <v>9</v>
      </c>
      <c r="E225" s="4">
        <v>30.98</v>
      </c>
      <c r="F225" s="3">
        <v>15</v>
      </c>
      <c r="G225" s="3">
        <f t="shared" si="9"/>
        <v>464.7</v>
      </c>
      <c r="H225" s="3">
        <f t="shared" si="10"/>
        <v>23.234999999999999</v>
      </c>
      <c r="I225" s="7">
        <v>19.510000000000002</v>
      </c>
      <c r="J225" s="5">
        <f t="shared" si="11"/>
        <v>421.95499999999998</v>
      </c>
    </row>
    <row r="226" spans="1:10" x14ac:dyDescent="0.35">
      <c r="A226" s="3" t="s">
        <v>80</v>
      </c>
      <c r="B226" s="6">
        <v>43870</v>
      </c>
      <c r="C226" s="10" t="s">
        <v>8</v>
      </c>
      <c r="D226" s="3" t="s">
        <v>9</v>
      </c>
      <c r="E226" s="4">
        <v>35.409999999999997</v>
      </c>
      <c r="F226" s="3">
        <v>21</v>
      </c>
      <c r="G226" s="3">
        <f t="shared" si="9"/>
        <v>743.6099999999999</v>
      </c>
      <c r="H226" s="3">
        <f t="shared" si="10"/>
        <v>37.180499999999995</v>
      </c>
      <c r="I226" s="7">
        <v>1.99</v>
      </c>
      <c r="J226" s="5">
        <f t="shared" si="11"/>
        <v>704.43949999999995</v>
      </c>
    </row>
    <row r="227" spans="1:10" x14ac:dyDescent="0.35">
      <c r="A227" s="3" t="s">
        <v>81</v>
      </c>
      <c r="B227" s="6">
        <v>43869</v>
      </c>
      <c r="C227" s="10" t="s">
        <v>8</v>
      </c>
      <c r="D227" s="3" t="s">
        <v>9</v>
      </c>
      <c r="E227" s="4">
        <v>2.08</v>
      </c>
      <c r="F227" s="3">
        <v>39</v>
      </c>
      <c r="G227" s="3">
        <f t="shared" si="9"/>
        <v>81.12</v>
      </c>
      <c r="H227" s="3">
        <f t="shared" si="10"/>
        <v>4.056</v>
      </c>
      <c r="I227" s="7">
        <v>2.56</v>
      </c>
      <c r="J227" s="5">
        <f t="shared" si="11"/>
        <v>74.504000000000005</v>
      </c>
    </row>
    <row r="228" spans="1:10" x14ac:dyDescent="0.35">
      <c r="A228" s="3" t="s">
        <v>82</v>
      </c>
      <c r="B228" s="6">
        <v>43868</v>
      </c>
      <c r="C228" s="10" t="s">
        <v>8</v>
      </c>
      <c r="D228" s="3" t="s">
        <v>9</v>
      </c>
      <c r="E228" s="4">
        <v>29.74</v>
      </c>
      <c r="F228" s="3">
        <v>31</v>
      </c>
      <c r="G228" s="3">
        <f t="shared" si="9"/>
        <v>921.93999999999994</v>
      </c>
      <c r="H228" s="3">
        <f t="shared" si="10"/>
        <v>46.097000000000001</v>
      </c>
      <c r="I228" s="7">
        <v>6.64</v>
      </c>
      <c r="J228" s="5">
        <f t="shared" si="11"/>
        <v>869.20299999999997</v>
      </c>
    </row>
    <row r="229" spans="1:10" x14ac:dyDescent="0.35">
      <c r="A229" s="3" t="s">
        <v>83</v>
      </c>
      <c r="B229" s="6">
        <v>43867</v>
      </c>
      <c r="C229" s="10" t="s">
        <v>8</v>
      </c>
      <c r="D229" s="3" t="s">
        <v>9</v>
      </c>
      <c r="E229" s="4">
        <v>1.82</v>
      </c>
      <c r="F229" s="3">
        <v>40</v>
      </c>
      <c r="G229" s="3">
        <f t="shared" si="9"/>
        <v>72.8</v>
      </c>
      <c r="H229" s="3">
        <f t="shared" si="10"/>
        <v>3.64</v>
      </c>
      <c r="I229" s="7">
        <v>1</v>
      </c>
      <c r="J229" s="5">
        <f t="shared" si="11"/>
        <v>68.16</v>
      </c>
    </row>
    <row r="230" spans="1:10" x14ac:dyDescent="0.35">
      <c r="A230" s="3" t="s">
        <v>85</v>
      </c>
      <c r="B230" s="6">
        <v>43865</v>
      </c>
      <c r="C230" s="10" t="s">
        <v>8</v>
      </c>
      <c r="D230" s="3" t="s">
        <v>9</v>
      </c>
      <c r="E230" s="4">
        <v>5.74</v>
      </c>
      <c r="F230" s="3">
        <v>5</v>
      </c>
      <c r="G230" s="3">
        <f t="shared" si="9"/>
        <v>28.700000000000003</v>
      </c>
      <c r="H230" s="3">
        <f t="shared" si="10"/>
        <v>1.4350000000000003</v>
      </c>
      <c r="I230" s="7">
        <v>5.01</v>
      </c>
      <c r="J230" s="5">
        <f t="shared" si="11"/>
        <v>22.255000000000003</v>
      </c>
    </row>
    <row r="231" spans="1:10" x14ac:dyDescent="0.35">
      <c r="A231" s="3" t="s">
        <v>91</v>
      </c>
      <c r="B231" s="6">
        <v>43859</v>
      </c>
      <c r="C231" s="10" t="s">
        <v>8</v>
      </c>
      <c r="D231" s="3" t="s">
        <v>9</v>
      </c>
      <c r="E231" s="4">
        <v>15.99</v>
      </c>
      <c r="F231" s="3">
        <v>33</v>
      </c>
      <c r="G231" s="3">
        <f t="shared" si="9"/>
        <v>527.66999999999996</v>
      </c>
      <c r="H231" s="3">
        <f t="shared" si="10"/>
        <v>26.383499999999998</v>
      </c>
      <c r="I231" s="7">
        <v>11.28</v>
      </c>
      <c r="J231" s="5">
        <f t="shared" si="11"/>
        <v>490.00649999999996</v>
      </c>
    </row>
    <row r="232" spans="1:10" x14ac:dyDescent="0.35">
      <c r="A232" s="3" t="s">
        <v>93</v>
      </c>
      <c r="B232" s="6">
        <v>43857</v>
      </c>
      <c r="C232" s="10" t="s">
        <v>8</v>
      </c>
      <c r="D232" s="3" t="s">
        <v>9</v>
      </c>
      <c r="E232" s="4">
        <v>5.74</v>
      </c>
      <c r="F232" s="3">
        <v>48</v>
      </c>
      <c r="G232" s="3">
        <f t="shared" si="9"/>
        <v>275.52</v>
      </c>
      <c r="H232" s="3">
        <f t="shared" si="10"/>
        <v>13.776</v>
      </c>
      <c r="I232" s="7">
        <v>5.01</v>
      </c>
      <c r="J232" s="5">
        <f t="shared" si="11"/>
        <v>256.73399999999998</v>
      </c>
    </row>
    <row r="233" spans="1:10" x14ac:dyDescent="0.35">
      <c r="A233" s="3" t="s">
        <v>100</v>
      </c>
      <c r="B233" s="6">
        <v>43850</v>
      </c>
      <c r="C233" s="10" t="s">
        <v>8</v>
      </c>
      <c r="D233" s="3" t="s">
        <v>9</v>
      </c>
      <c r="E233" s="4">
        <v>2.1</v>
      </c>
      <c r="F233" s="3">
        <v>33</v>
      </c>
      <c r="G233" s="3">
        <f t="shared" si="9"/>
        <v>69.3</v>
      </c>
      <c r="H233" s="3">
        <f t="shared" si="10"/>
        <v>3.4649999999999999</v>
      </c>
      <c r="I233" s="7">
        <v>0.7</v>
      </c>
      <c r="J233" s="5">
        <f t="shared" si="11"/>
        <v>65.134999999999991</v>
      </c>
    </row>
    <row r="234" spans="1:10" x14ac:dyDescent="0.35">
      <c r="A234" s="3" t="s">
        <v>101</v>
      </c>
      <c r="B234" s="6">
        <v>43849</v>
      </c>
      <c r="C234" s="10" t="s">
        <v>8</v>
      </c>
      <c r="D234" s="3" t="s">
        <v>9</v>
      </c>
      <c r="E234" s="4">
        <v>20.99</v>
      </c>
      <c r="F234" s="3">
        <v>17</v>
      </c>
      <c r="G234" s="3">
        <f t="shared" si="9"/>
        <v>356.83</v>
      </c>
      <c r="H234" s="3">
        <f t="shared" si="10"/>
        <v>17.8415</v>
      </c>
      <c r="I234" s="7">
        <v>4.8099999999999996</v>
      </c>
      <c r="J234" s="5">
        <f t="shared" si="11"/>
        <v>334.17849999999999</v>
      </c>
    </row>
    <row r="235" spans="1:10" x14ac:dyDescent="0.35">
      <c r="A235" s="3" t="s">
        <v>104</v>
      </c>
      <c r="B235" s="6">
        <v>43846</v>
      </c>
      <c r="C235" s="10" t="s">
        <v>8</v>
      </c>
      <c r="D235" s="3" t="s">
        <v>9</v>
      </c>
      <c r="E235" s="4">
        <v>2.61</v>
      </c>
      <c r="F235" s="3">
        <v>44</v>
      </c>
      <c r="G235" s="3">
        <f t="shared" si="9"/>
        <v>114.83999999999999</v>
      </c>
      <c r="H235" s="3">
        <f t="shared" si="10"/>
        <v>5.742</v>
      </c>
      <c r="I235" s="7">
        <v>0.5</v>
      </c>
      <c r="J235" s="5">
        <f t="shared" si="11"/>
        <v>108.59799999999998</v>
      </c>
    </row>
    <row r="236" spans="1:10" x14ac:dyDescent="0.35">
      <c r="A236" s="3" t="s">
        <v>105</v>
      </c>
      <c r="B236" s="6">
        <v>43845</v>
      </c>
      <c r="C236" s="10" t="s">
        <v>8</v>
      </c>
      <c r="D236" s="3" t="s">
        <v>9</v>
      </c>
      <c r="E236" s="4">
        <v>3.58</v>
      </c>
      <c r="F236" s="3">
        <v>34</v>
      </c>
      <c r="G236" s="3">
        <f t="shared" si="9"/>
        <v>121.72</v>
      </c>
      <c r="H236" s="3">
        <f t="shared" si="10"/>
        <v>6.0860000000000003</v>
      </c>
      <c r="I236" s="7">
        <v>5.47</v>
      </c>
      <c r="J236" s="5">
        <f t="shared" si="11"/>
        <v>110.164</v>
      </c>
    </row>
    <row r="237" spans="1:10" x14ac:dyDescent="0.35">
      <c r="A237" s="3" t="s">
        <v>106</v>
      </c>
      <c r="B237" s="6">
        <v>43844</v>
      </c>
      <c r="C237" s="10" t="s">
        <v>8</v>
      </c>
      <c r="D237" s="3" t="s">
        <v>9</v>
      </c>
      <c r="E237" s="4">
        <v>12.98</v>
      </c>
      <c r="F237" s="3">
        <v>49</v>
      </c>
      <c r="G237" s="3">
        <f t="shared" si="9"/>
        <v>636.02</v>
      </c>
      <c r="H237" s="3">
        <f t="shared" si="10"/>
        <v>31.801000000000002</v>
      </c>
      <c r="I237" s="7">
        <v>3.14</v>
      </c>
      <c r="J237" s="5">
        <f t="shared" si="11"/>
        <v>601.07899999999995</v>
      </c>
    </row>
    <row r="238" spans="1:10" x14ac:dyDescent="0.35">
      <c r="A238" s="3" t="s">
        <v>107</v>
      </c>
      <c r="B238" s="6">
        <v>43843</v>
      </c>
      <c r="C238" s="10" t="s">
        <v>8</v>
      </c>
      <c r="D238" s="3" t="s">
        <v>9</v>
      </c>
      <c r="E238" s="4">
        <v>136.97999999999999</v>
      </c>
      <c r="F238" s="3">
        <v>21</v>
      </c>
      <c r="G238" s="3">
        <f t="shared" si="9"/>
        <v>2876.58</v>
      </c>
      <c r="H238" s="3">
        <f t="shared" si="10"/>
        <v>143.82900000000001</v>
      </c>
      <c r="I238" s="7">
        <v>24.49</v>
      </c>
      <c r="J238" s="5">
        <f t="shared" si="11"/>
        <v>2708.261</v>
      </c>
    </row>
    <row r="239" spans="1:10" x14ac:dyDescent="0.35">
      <c r="A239" s="3" t="s">
        <v>108</v>
      </c>
      <c r="B239" s="6">
        <v>43842</v>
      </c>
      <c r="C239" s="10" t="s">
        <v>8</v>
      </c>
      <c r="D239" s="3" t="s">
        <v>9</v>
      </c>
      <c r="E239" s="4">
        <v>2.6</v>
      </c>
      <c r="F239" s="3">
        <v>12</v>
      </c>
      <c r="G239" s="3">
        <f t="shared" si="9"/>
        <v>31.200000000000003</v>
      </c>
      <c r="H239" s="3">
        <f t="shared" si="10"/>
        <v>1.5600000000000003</v>
      </c>
      <c r="I239" s="7">
        <v>2.4</v>
      </c>
      <c r="J239" s="5">
        <f t="shared" si="11"/>
        <v>27.240000000000006</v>
      </c>
    </row>
    <row r="240" spans="1:10" x14ac:dyDescent="0.35">
      <c r="A240" s="3" t="s">
        <v>111</v>
      </c>
      <c r="B240" s="6">
        <v>43839</v>
      </c>
      <c r="C240" s="10" t="s">
        <v>8</v>
      </c>
      <c r="D240" s="3" t="s">
        <v>9</v>
      </c>
      <c r="E240" s="4">
        <v>27.18</v>
      </c>
      <c r="F240" s="3">
        <v>38</v>
      </c>
      <c r="G240" s="3">
        <f t="shared" si="9"/>
        <v>1032.8399999999999</v>
      </c>
      <c r="H240" s="3">
        <f t="shared" si="10"/>
        <v>51.641999999999996</v>
      </c>
      <c r="I240" s="7">
        <v>8.23</v>
      </c>
      <c r="J240" s="5">
        <f t="shared" si="11"/>
        <v>972.96799999999985</v>
      </c>
    </row>
    <row r="241" spans="1:10" x14ac:dyDescent="0.35">
      <c r="A241" s="3" t="s">
        <v>114</v>
      </c>
      <c r="B241" s="6">
        <v>43836</v>
      </c>
      <c r="C241" s="10" t="s">
        <v>8</v>
      </c>
      <c r="D241" s="3" t="s">
        <v>9</v>
      </c>
      <c r="E241" s="4">
        <v>16.98</v>
      </c>
      <c r="F241" s="3">
        <v>43</v>
      </c>
      <c r="G241" s="3">
        <f t="shared" si="9"/>
        <v>730.14</v>
      </c>
      <c r="H241" s="3">
        <f t="shared" si="10"/>
        <v>36.506999999999998</v>
      </c>
      <c r="I241" s="7">
        <v>12.39</v>
      </c>
      <c r="J241" s="5">
        <f t="shared" si="11"/>
        <v>681.24300000000005</v>
      </c>
    </row>
    <row r="242" spans="1:10" x14ac:dyDescent="0.35">
      <c r="A242" s="3" t="s">
        <v>117</v>
      </c>
      <c r="B242" s="6">
        <v>43833</v>
      </c>
      <c r="C242" s="10" t="s">
        <v>8</v>
      </c>
      <c r="D242" s="3" t="s">
        <v>9</v>
      </c>
      <c r="E242" s="4">
        <v>2.88</v>
      </c>
      <c r="F242" s="3">
        <v>46</v>
      </c>
      <c r="G242" s="3">
        <f t="shared" si="9"/>
        <v>132.47999999999999</v>
      </c>
      <c r="H242" s="3">
        <f t="shared" si="10"/>
        <v>6.6239999999999997</v>
      </c>
      <c r="I242" s="7">
        <v>1.01</v>
      </c>
      <c r="J242" s="5">
        <f t="shared" si="11"/>
        <v>124.84599999999999</v>
      </c>
    </row>
    <row r="243" spans="1:10" x14ac:dyDescent="0.35">
      <c r="A243" s="3" t="s">
        <v>120</v>
      </c>
      <c r="B243" s="6">
        <v>43830</v>
      </c>
      <c r="C243" s="10" t="s">
        <v>8</v>
      </c>
      <c r="D243" s="3" t="s">
        <v>9</v>
      </c>
      <c r="E243" s="4">
        <v>22.38</v>
      </c>
      <c r="F243" s="3">
        <v>34</v>
      </c>
      <c r="G243" s="3">
        <f t="shared" si="9"/>
        <v>760.92</v>
      </c>
      <c r="H243" s="3">
        <f t="shared" si="10"/>
        <v>38.045999999999999</v>
      </c>
      <c r="I243" s="7">
        <v>15.1</v>
      </c>
      <c r="J243" s="5">
        <f t="shared" si="11"/>
        <v>707.77399999999989</v>
      </c>
    </row>
    <row r="244" spans="1:10" x14ac:dyDescent="0.35">
      <c r="A244" s="3" t="s">
        <v>132</v>
      </c>
      <c r="B244" s="6">
        <v>43818</v>
      </c>
      <c r="C244" s="10" t="s">
        <v>8</v>
      </c>
      <c r="D244" s="3" t="s">
        <v>9</v>
      </c>
      <c r="E244" s="4">
        <v>19.98</v>
      </c>
      <c r="F244" s="3">
        <v>44</v>
      </c>
      <c r="G244" s="3">
        <f t="shared" si="9"/>
        <v>879.12</v>
      </c>
      <c r="H244" s="3">
        <f t="shared" si="10"/>
        <v>43.956000000000003</v>
      </c>
      <c r="I244" s="7">
        <v>4</v>
      </c>
      <c r="J244" s="5">
        <f t="shared" si="11"/>
        <v>831.16399999999999</v>
      </c>
    </row>
    <row r="245" spans="1:10" x14ac:dyDescent="0.35">
      <c r="A245" s="3" t="s">
        <v>135</v>
      </c>
      <c r="B245" s="6">
        <v>43815</v>
      </c>
      <c r="C245" s="10" t="s">
        <v>8</v>
      </c>
      <c r="D245" s="3" t="s">
        <v>27</v>
      </c>
      <c r="E245" s="4">
        <v>9.3800000000000008</v>
      </c>
      <c r="F245" s="3">
        <v>46</v>
      </c>
      <c r="G245" s="3">
        <f t="shared" si="9"/>
        <v>431.48</v>
      </c>
      <c r="H245" s="3">
        <f t="shared" si="10"/>
        <v>21.574000000000002</v>
      </c>
      <c r="I245" s="7">
        <v>7.28</v>
      </c>
      <c r="J245" s="5">
        <f t="shared" si="11"/>
        <v>402.62600000000003</v>
      </c>
    </row>
    <row r="246" spans="1:10" x14ac:dyDescent="0.35">
      <c r="A246" s="3" t="s">
        <v>145</v>
      </c>
      <c r="B246" s="6">
        <v>43805</v>
      </c>
      <c r="C246" s="10" t="s">
        <v>8</v>
      </c>
      <c r="D246" s="3" t="s">
        <v>9</v>
      </c>
      <c r="E246" s="4">
        <v>2.78</v>
      </c>
      <c r="F246" s="3">
        <v>23</v>
      </c>
      <c r="G246" s="3">
        <f t="shared" si="9"/>
        <v>63.94</v>
      </c>
      <c r="H246" s="3">
        <f t="shared" si="10"/>
        <v>3.1970000000000001</v>
      </c>
      <c r="I246" s="7">
        <v>1.34</v>
      </c>
      <c r="J246" s="5">
        <f t="shared" si="11"/>
        <v>59.402999999999992</v>
      </c>
    </row>
    <row r="247" spans="1:10" x14ac:dyDescent="0.35">
      <c r="A247" s="3" t="s">
        <v>147</v>
      </c>
      <c r="B247" s="6">
        <v>43803</v>
      </c>
      <c r="C247" s="10" t="s">
        <v>8</v>
      </c>
      <c r="D247" s="3" t="s">
        <v>9</v>
      </c>
      <c r="E247" s="4">
        <v>19.84</v>
      </c>
      <c r="F247" s="3">
        <v>22</v>
      </c>
      <c r="G247" s="3">
        <f t="shared" si="9"/>
        <v>436.48</v>
      </c>
      <c r="H247" s="3">
        <f t="shared" si="10"/>
        <v>21.824000000000002</v>
      </c>
      <c r="I247" s="7">
        <v>4.0999999999999996</v>
      </c>
      <c r="J247" s="5">
        <f t="shared" si="11"/>
        <v>410.55599999999998</v>
      </c>
    </row>
    <row r="248" spans="1:10" x14ac:dyDescent="0.35">
      <c r="A248" s="3" t="s">
        <v>149</v>
      </c>
      <c r="B248" s="6">
        <v>43801</v>
      </c>
      <c r="C248" s="10" t="s">
        <v>8</v>
      </c>
      <c r="D248" s="3" t="s">
        <v>27</v>
      </c>
      <c r="E248" s="4">
        <v>7.3</v>
      </c>
      <c r="F248" s="3">
        <v>41</v>
      </c>
      <c r="G248" s="3">
        <f t="shared" si="9"/>
        <v>299.3</v>
      </c>
      <c r="H248" s="3">
        <f t="shared" si="10"/>
        <v>14.965000000000002</v>
      </c>
      <c r="I248" s="7">
        <v>7.72</v>
      </c>
      <c r="J248" s="5">
        <f t="shared" si="11"/>
        <v>276.61500000000001</v>
      </c>
    </row>
    <row r="249" spans="1:10" x14ac:dyDescent="0.35">
      <c r="A249" s="3" t="s">
        <v>152</v>
      </c>
      <c r="B249" s="6">
        <v>43798</v>
      </c>
      <c r="C249" s="10" t="s">
        <v>8</v>
      </c>
      <c r="D249" s="3" t="s">
        <v>27</v>
      </c>
      <c r="E249" s="4">
        <v>3.89</v>
      </c>
      <c r="F249" s="3">
        <v>30</v>
      </c>
      <c r="G249" s="3">
        <f t="shared" si="9"/>
        <v>116.7</v>
      </c>
      <c r="H249" s="3">
        <f t="shared" si="10"/>
        <v>5.8350000000000009</v>
      </c>
      <c r="I249" s="7">
        <v>7.01</v>
      </c>
      <c r="J249" s="5">
        <f t="shared" si="11"/>
        <v>103.855</v>
      </c>
    </row>
    <row r="250" spans="1:10" x14ac:dyDescent="0.35">
      <c r="A250" s="3" t="s">
        <v>153</v>
      </c>
      <c r="B250" s="6">
        <v>43797</v>
      </c>
      <c r="C250" s="10" t="s">
        <v>8</v>
      </c>
      <c r="D250" s="3" t="s">
        <v>9</v>
      </c>
      <c r="E250" s="4">
        <v>3.69</v>
      </c>
      <c r="F250" s="3">
        <v>13</v>
      </c>
      <c r="G250" s="3">
        <f t="shared" si="9"/>
        <v>47.97</v>
      </c>
      <c r="H250" s="3">
        <f t="shared" si="10"/>
        <v>2.3985000000000003</v>
      </c>
      <c r="I250" s="7">
        <v>0.5</v>
      </c>
      <c r="J250" s="5">
        <f t="shared" si="11"/>
        <v>45.0715</v>
      </c>
    </row>
    <row r="251" spans="1:10" x14ac:dyDescent="0.35">
      <c r="A251" s="3" t="s">
        <v>154</v>
      </c>
      <c r="B251" s="6">
        <v>43796</v>
      </c>
      <c r="C251" s="10" t="s">
        <v>8</v>
      </c>
      <c r="D251" s="3" t="s">
        <v>9</v>
      </c>
      <c r="E251" s="4">
        <v>1.26</v>
      </c>
      <c r="F251" s="3">
        <v>34</v>
      </c>
      <c r="G251" s="3">
        <f t="shared" si="9"/>
        <v>42.84</v>
      </c>
      <c r="H251" s="3">
        <f t="shared" si="10"/>
        <v>2.1420000000000003</v>
      </c>
      <c r="I251" s="7">
        <v>0.7</v>
      </c>
      <c r="J251" s="5">
        <f t="shared" si="11"/>
        <v>39.997999999999998</v>
      </c>
    </row>
    <row r="252" spans="1:10" x14ac:dyDescent="0.35">
      <c r="A252" s="3" t="s">
        <v>155</v>
      </c>
      <c r="B252" s="6">
        <v>43795</v>
      </c>
      <c r="C252" s="10" t="s">
        <v>8</v>
      </c>
      <c r="D252" s="3" t="s">
        <v>9</v>
      </c>
      <c r="E252" s="4">
        <v>3.89</v>
      </c>
      <c r="F252" s="3">
        <v>18</v>
      </c>
      <c r="G252" s="3">
        <f t="shared" si="9"/>
        <v>70.02</v>
      </c>
      <c r="H252" s="3">
        <f t="shared" si="10"/>
        <v>3.5009999999999999</v>
      </c>
      <c r="I252" s="7">
        <v>7.01</v>
      </c>
      <c r="J252" s="5">
        <f t="shared" si="11"/>
        <v>59.508999999999993</v>
      </c>
    </row>
    <row r="253" spans="1:10" x14ac:dyDescent="0.35">
      <c r="A253" s="3" t="s">
        <v>156</v>
      </c>
      <c r="B253" s="6">
        <v>43794</v>
      </c>
      <c r="C253" s="10" t="s">
        <v>8</v>
      </c>
      <c r="D253" s="3" t="s">
        <v>9</v>
      </c>
      <c r="E253" s="4">
        <v>83.93</v>
      </c>
      <c r="F253" s="3">
        <v>37</v>
      </c>
      <c r="G253" s="3">
        <f t="shared" si="9"/>
        <v>3105.4100000000003</v>
      </c>
      <c r="H253" s="3">
        <f t="shared" si="10"/>
        <v>155.27050000000003</v>
      </c>
      <c r="I253" s="7">
        <v>19.989999999999998</v>
      </c>
      <c r="J253" s="5">
        <f t="shared" si="11"/>
        <v>2930.1495000000004</v>
      </c>
    </row>
    <row r="254" spans="1:10" x14ac:dyDescent="0.35">
      <c r="A254" s="3" t="s">
        <v>157</v>
      </c>
      <c r="B254" s="6">
        <v>43793</v>
      </c>
      <c r="C254" s="10" t="s">
        <v>8</v>
      </c>
      <c r="D254" s="3" t="s">
        <v>9</v>
      </c>
      <c r="E254" s="4">
        <v>2.78</v>
      </c>
      <c r="F254" s="3">
        <v>6</v>
      </c>
      <c r="G254" s="3">
        <f t="shared" si="9"/>
        <v>16.68</v>
      </c>
      <c r="H254" s="3">
        <f t="shared" si="10"/>
        <v>0.83400000000000007</v>
      </c>
      <c r="I254" s="7">
        <v>1.2</v>
      </c>
      <c r="J254" s="5">
        <f t="shared" si="11"/>
        <v>14.646000000000001</v>
      </c>
    </row>
    <row r="255" spans="1:10" x14ac:dyDescent="0.35">
      <c r="A255" s="3" t="s">
        <v>158</v>
      </c>
      <c r="B255" s="6">
        <v>43792</v>
      </c>
      <c r="C255" s="10" t="s">
        <v>8</v>
      </c>
      <c r="D255" s="3" t="s">
        <v>9</v>
      </c>
      <c r="E255" s="4">
        <v>100.97</v>
      </c>
      <c r="F255" s="3">
        <v>41</v>
      </c>
      <c r="G255" s="3">
        <f t="shared" si="9"/>
        <v>4139.7699999999995</v>
      </c>
      <c r="H255" s="3">
        <f t="shared" si="10"/>
        <v>206.98849999999999</v>
      </c>
      <c r="I255" s="7">
        <v>7.18</v>
      </c>
      <c r="J255" s="5">
        <f t="shared" si="11"/>
        <v>3925.6014999999998</v>
      </c>
    </row>
    <row r="256" spans="1:10" x14ac:dyDescent="0.35">
      <c r="A256" s="3" t="s">
        <v>159</v>
      </c>
      <c r="B256" s="6">
        <v>43791</v>
      </c>
      <c r="C256" s="10" t="s">
        <v>8</v>
      </c>
      <c r="D256" s="3" t="s">
        <v>9</v>
      </c>
      <c r="E256" s="4">
        <v>11.97</v>
      </c>
      <c r="F256" s="3">
        <v>49</v>
      </c>
      <c r="G256" s="3">
        <f t="shared" si="9"/>
        <v>586.53000000000009</v>
      </c>
      <c r="H256" s="3">
        <f t="shared" si="10"/>
        <v>29.326500000000006</v>
      </c>
      <c r="I256" s="7">
        <v>5.81</v>
      </c>
      <c r="J256" s="5">
        <f t="shared" si="11"/>
        <v>551.39350000000013</v>
      </c>
    </row>
    <row r="257" spans="1:10" x14ac:dyDescent="0.35">
      <c r="A257" s="3" t="s">
        <v>161</v>
      </c>
      <c r="B257" s="6">
        <v>43789</v>
      </c>
      <c r="C257" s="10" t="s">
        <v>8</v>
      </c>
      <c r="D257" s="3" t="s">
        <v>9</v>
      </c>
      <c r="E257" s="4">
        <v>22.38</v>
      </c>
      <c r="F257" s="3">
        <v>18</v>
      </c>
      <c r="G257" s="3">
        <f t="shared" si="9"/>
        <v>402.84</v>
      </c>
      <c r="H257" s="3">
        <f t="shared" si="10"/>
        <v>20.141999999999999</v>
      </c>
      <c r="I257" s="7">
        <v>15.1</v>
      </c>
      <c r="J257" s="5">
        <f t="shared" si="11"/>
        <v>367.59799999999996</v>
      </c>
    </row>
    <row r="258" spans="1:10" x14ac:dyDescent="0.35">
      <c r="A258" s="3" t="s">
        <v>163</v>
      </c>
      <c r="B258" s="6">
        <v>43787</v>
      </c>
      <c r="C258" s="10" t="s">
        <v>8</v>
      </c>
      <c r="D258" s="3" t="s">
        <v>9</v>
      </c>
      <c r="E258" s="4">
        <v>1.6</v>
      </c>
      <c r="F258" s="3">
        <v>39</v>
      </c>
      <c r="G258" s="3">
        <f t="shared" si="9"/>
        <v>62.400000000000006</v>
      </c>
      <c r="H258" s="3">
        <f t="shared" si="10"/>
        <v>3.1200000000000006</v>
      </c>
      <c r="I258" s="7">
        <v>1.29</v>
      </c>
      <c r="J258" s="5">
        <f t="shared" si="11"/>
        <v>57.990000000000009</v>
      </c>
    </row>
    <row r="259" spans="1:10" x14ac:dyDescent="0.35">
      <c r="A259" s="3" t="s">
        <v>168</v>
      </c>
      <c r="B259" s="6">
        <v>43782</v>
      </c>
      <c r="C259" s="10" t="s">
        <v>8</v>
      </c>
      <c r="D259" s="3" t="s">
        <v>27</v>
      </c>
      <c r="E259" s="4">
        <v>3.58</v>
      </c>
      <c r="F259" s="3">
        <v>36</v>
      </c>
      <c r="G259" s="3">
        <f t="shared" ref="G259:G322" si="12">E259*F259</f>
        <v>128.88</v>
      </c>
      <c r="H259" s="3">
        <f t="shared" ref="H259:H322" si="13">G259*5%</f>
        <v>6.444</v>
      </c>
      <c r="I259" s="7">
        <v>5.47</v>
      </c>
      <c r="J259" s="5">
        <f t="shared" ref="J259:J322" si="14">G259-H259-I259</f>
        <v>116.96599999999999</v>
      </c>
    </row>
    <row r="260" spans="1:10" x14ac:dyDescent="0.35">
      <c r="A260" s="3" t="s">
        <v>170</v>
      </c>
      <c r="B260" s="6">
        <v>43780</v>
      </c>
      <c r="C260" s="10" t="s">
        <v>8</v>
      </c>
      <c r="D260" s="3" t="s">
        <v>9</v>
      </c>
      <c r="E260" s="4">
        <v>2.88</v>
      </c>
      <c r="F260" s="3">
        <v>18</v>
      </c>
      <c r="G260" s="3">
        <f t="shared" si="12"/>
        <v>51.839999999999996</v>
      </c>
      <c r="H260" s="3">
        <f t="shared" si="13"/>
        <v>2.5920000000000001</v>
      </c>
      <c r="I260" s="7">
        <v>0.99</v>
      </c>
      <c r="J260" s="5">
        <f t="shared" si="14"/>
        <v>48.257999999999996</v>
      </c>
    </row>
    <row r="261" spans="1:10" x14ac:dyDescent="0.35">
      <c r="A261" s="3" t="s">
        <v>171</v>
      </c>
      <c r="B261" s="6">
        <v>43779</v>
      </c>
      <c r="C261" s="10" t="s">
        <v>8</v>
      </c>
      <c r="D261" s="3" t="s">
        <v>9</v>
      </c>
      <c r="E261" s="4">
        <v>2.62</v>
      </c>
      <c r="F261" s="3">
        <v>16</v>
      </c>
      <c r="G261" s="3">
        <f t="shared" si="12"/>
        <v>41.92</v>
      </c>
      <c r="H261" s="3">
        <f t="shared" si="13"/>
        <v>2.0960000000000001</v>
      </c>
      <c r="I261" s="7">
        <v>0.8</v>
      </c>
      <c r="J261" s="5">
        <f t="shared" si="14"/>
        <v>39.024000000000001</v>
      </c>
    </row>
    <row r="262" spans="1:10" x14ac:dyDescent="0.35">
      <c r="A262" s="3" t="s">
        <v>172</v>
      </c>
      <c r="B262" s="6">
        <v>43778</v>
      </c>
      <c r="C262" s="10" t="s">
        <v>8</v>
      </c>
      <c r="D262" s="3" t="s">
        <v>9</v>
      </c>
      <c r="E262" s="4">
        <v>22.38</v>
      </c>
      <c r="F262" s="3">
        <v>9</v>
      </c>
      <c r="G262" s="3">
        <f t="shared" si="12"/>
        <v>201.42</v>
      </c>
      <c r="H262" s="3">
        <f t="shared" si="13"/>
        <v>10.071</v>
      </c>
      <c r="I262" s="7">
        <v>15.1</v>
      </c>
      <c r="J262" s="5">
        <f t="shared" si="14"/>
        <v>176.249</v>
      </c>
    </row>
    <row r="263" spans="1:10" x14ac:dyDescent="0.35">
      <c r="A263" s="3" t="s">
        <v>173</v>
      </c>
      <c r="B263" s="6">
        <v>43777</v>
      </c>
      <c r="C263" s="10" t="s">
        <v>8</v>
      </c>
      <c r="D263" s="3" t="s">
        <v>9</v>
      </c>
      <c r="E263" s="4">
        <v>1.26</v>
      </c>
      <c r="F263" s="3">
        <v>47</v>
      </c>
      <c r="G263" s="3">
        <f t="shared" si="12"/>
        <v>59.22</v>
      </c>
      <c r="H263" s="3">
        <f t="shared" si="13"/>
        <v>2.9610000000000003</v>
      </c>
      <c r="I263" s="7">
        <v>0.7</v>
      </c>
      <c r="J263" s="5">
        <f t="shared" si="14"/>
        <v>55.558999999999997</v>
      </c>
    </row>
    <row r="264" spans="1:10" x14ac:dyDescent="0.35">
      <c r="A264" s="3" t="s">
        <v>181</v>
      </c>
      <c r="B264" s="6">
        <v>43769</v>
      </c>
      <c r="C264" s="10" t="s">
        <v>8</v>
      </c>
      <c r="D264" s="3" t="s">
        <v>9</v>
      </c>
      <c r="E264" s="4">
        <v>22.38</v>
      </c>
      <c r="F264" s="3">
        <v>11</v>
      </c>
      <c r="G264" s="3">
        <f t="shared" si="12"/>
        <v>246.17999999999998</v>
      </c>
      <c r="H264" s="3">
        <f t="shared" si="13"/>
        <v>12.308999999999999</v>
      </c>
      <c r="I264" s="7">
        <v>15.1</v>
      </c>
      <c r="J264" s="5">
        <f t="shared" si="14"/>
        <v>218.77099999999999</v>
      </c>
    </row>
    <row r="265" spans="1:10" x14ac:dyDescent="0.35">
      <c r="A265" s="3" t="s">
        <v>182</v>
      </c>
      <c r="B265" s="6">
        <v>43768</v>
      </c>
      <c r="C265" s="10" t="s">
        <v>8</v>
      </c>
      <c r="D265" s="3" t="s">
        <v>27</v>
      </c>
      <c r="E265" s="4">
        <v>2.1</v>
      </c>
      <c r="F265" s="3">
        <v>31</v>
      </c>
      <c r="G265" s="3">
        <f t="shared" si="12"/>
        <v>65.100000000000009</v>
      </c>
      <c r="H265" s="3">
        <f t="shared" si="13"/>
        <v>3.2550000000000008</v>
      </c>
      <c r="I265" s="7">
        <v>0.7</v>
      </c>
      <c r="J265" s="5">
        <f t="shared" si="14"/>
        <v>61.145000000000003</v>
      </c>
    </row>
    <row r="266" spans="1:10" x14ac:dyDescent="0.35">
      <c r="A266" s="3" t="s">
        <v>184</v>
      </c>
      <c r="B266" s="6">
        <v>43766</v>
      </c>
      <c r="C266" s="10" t="s">
        <v>8</v>
      </c>
      <c r="D266" s="3" t="s">
        <v>9</v>
      </c>
      <c r="E266" s="4">
        <v>152.47999999999999</v>
      </c>
      <c r="F266" s="3">
        <v>37</v>
      </c>
      <c r="G266" s="3">
        <f t="shared" si="12"/>
        <v>5641.7599999999993</v>
      </c>
      <c r="H266" s="3">
        <f t="shared" si="13"/>
        <v>282.08799999999997</v>
      </c>
      <c r="I266" s="7">
        <v>4</v>
      </c>
      <c r="J266" s="5">
        <f t="shared" si="14"/>
        <v>5355.6719999999996</v>
      </c>
    </row>
    <row r="267" spans="1:10" x14ac:dyDescent="0.35">
      <c r="A267" s="3" t="s">
        <v>185</v>
      </c>
      <c r="B267" s="6">
        <v>43765</v>
      </c>
      <c r="C267" s="10" t="s">
        <v>8</v>
      </c>
      <c r="D267" s="3" t="s">
        <v>9</v>
      </c>
      <c r="E267" s="4">
        <v>35.409999999999997</v>
      </c>
      <c r="F267" s="3">
        <v>30</v>
      </c>
      <c r="G267" s="3">
        <f t="shared" si="12"/>
        <v>1062.3</v>
      </c>
      <c r="H267" s="3">
        <f t="shared" si="13"/>
        <v>53.115000000000002</v>
      </c>
      <c r="I267" s="7">
        <v>1.99</v>
      </c>
      <c r="J267" s="5">
        <f t="shared" si="14"/>
        <v>1007.1949999999999</v>
      </c>
    </row>
    <row r="268" spans="1:10" x14ac:dyDescent="0.35">
      <c r="A268" s="3" t="s">
        <v>187</v>
      </c>
      <c r="B268" s="6">
        <v>43763</v>
      </c>
      <c r="C268" s="10" t="s">
        <v>8</v>
      </c>
      <c r="D268" s="3" t="s">
        <v>27</v>
      </c>
      <c r="E268" s="4">
        <v>162.93</v>
      </c>
      <c r="F268" s="3">
        <v>36</v>
      </c>
      <c r="G268" s="3">
        <f t="shared" si="12"/>
        <v>5865.4800000000005</v>
      </c>
      <c r="H268" s="3">
        <f t="shared" si="13"/>
        <v>293.27400000000006</v>
      </c>
      <c r="I268" s="7">
        <v>19.989999999999998</v>
      </c>
      <c r="J268" s="5">
        <f t="shared" si="14"/>
        <v>5552.2160000000003</v>
      </c>
    </row>
    <row r="269" spans="1:10" x14ac:dyDescent="0.35">
      <c r="A269" s="3" t="s">
        <v>189</v>
      </c>
      <c r="B269" s="6">
        <v>43761</v>
      </c>
      <c r="C269" s="10" t="s">
        <v>8</v>
      </c>
      <c r="D269" s="3" t="s">
        <v>9</v>
      </c>
      <c r="E269" s="4">
        <v>2.84</v>
      </c>
      <c r="F269" s="3">
        <v>9</v>
      </c>
      <c r="G269" s="3">
        <f t="shared" si="12"/>
        <v>25.56</v>
      </c>
      <c r="H269" s="3">
        <f t="shared" si="13"/>
        <v>1.278</v>
      </c>
      <c r="I269" s="7">
        <v>0.93</v>
      </c>
      <c r="J269" s="5">
        <f t="shared" si="14"/>
        <v>23.352</v>
      </c>
    </row>
    <row r="270" spans="1:10" x14ac:dyDescent="0.35">
      <c r="A270" s="3" t="s">
        <v>191</v>
      </c>
      <c r="B270" s="6">
        <v>43759</v>
      </c>
      <c r="C270" s="10" t="s">
        <v>8</v>
      </c>
      <c r="D270" s="3" t="s">
        <v>9</v>
      </c>
      <c r="E270" s="4">
        <v>1.1399999999999999</v>
      </c>
      <c r="F270" s="3">
        <v>3</v>
      </c>
      <c r="G270" s="3">
        <f t="shared" si="12"/>
        <v>3.42</v>
      </c>
      <c r="H270" s="3">
        <f t="shared" si="13"/>
        <v>0.17100000000000001</v>
      </c>
      <c r="I270" s="7">
        <v>0.7</v>
      </c>
      <c r="J270" s="5">
        <f t="shared" si="14"/>
        <v>2.5490000000000004</v>
      </c>
    </row>
    <row r="271" spans="1:10" x14ac:dyDescent="0.35">
      <c r="A271" s="3" t="s">
        <v>192</v>
      </c>
      <c r="B271" s="6">
        <v>43758</v>
      </c>
      <c r="C271" s="10" t="s">
        <v>8</v>
      </c>
      <c r="D271" s="3" t="s">
        <v>9</v>
      </c>
      <c r="E271" s="4">
        <v>6.08</v>
      </c>
      <c r="F271" s="3">
        <v>50</v>
      </c>
      <c r="G271" s="3">
        <f t="shared" si="12"/>
        <v>304</v>
      </c>
      <c r="H271" s="3">
        <f t="shared" si="13"/>
        <v>15.200000000000001</v>
      </c>
      <c r="I271" s="7">
        <v>1.82</v>
      </c>
      <c r="J271" s="5">
        <f t="shared" si="14"/>
        <v>286.98</v>
      </c>
    </row>
    <row r="272" spans="1:10" x14ac:dyDescent="0.35">
      <c r="A272" s="3" t="s">
        <v>193</v>
      </c>
      <c r="B272" s="6">
        <v>43757</v>
      </c>
      <c r="C272" s="10" t="s">
        <v>8</v>
      </c>
      <c r="D272" s="3" t="s">
        <v>9</v>
      </c>
      <c r="E272" s="4">
        <v>2.08</v>
      </c>
      <c r="F272" s="3">
        <v>49</v>
      </c>
      <c r="G272" s="3">
        <f t="shared" si="12"/>
        <v>101.92</v>
      </c>
      <c r="H272" s="3">
        <f t="shared" si="13"/>
        <v>5.0960000000000001</v>
      </c>
      <c r="I272" s="7">
        <v>2.56</v>
      </c>
      <c r="J272" s="5">
        <f t="shared" si="14"/>
        <v>94.263999999999996</v>
      </c>
    </row>
    <row r="273" spans="1:10" x14ac:dyDescent="0.35">
      <c r="A273" s="3" t="s">
        <v>194</v>
      </c>
      <c r="B273" s="6">
        <v>43756</v>
      </c>
      <c r="C273" s="10" t="s">
        <v>8</v>
      </c>
      <c r="D273" s="3" t="s">
        <v>9</v>
      </c>
      <c r="E273" s="4">
        <v>29.99</v>
      </c>
      <c r="F273" s="3">
        <v>1</v>
      </c>
      <c r="G273" s="3">
        <f t="shared" si="12"/>
        <v>29.99</v>
      </c>
      <c r="H273" s="3">
        <f t="shared" si="13"/>
        <v>1.4995000000000001</v>
      </c>
      <c r="I273" s="7">
        <v>5.5</v>
      </c>
      <c r="J273" s="5">
        <f t="shared" si="14"/>
        <v>22.990499999999997</v>
      </c>
    </row>
    <row r="274" spans="1:10" x14ac:dyDescent="0.35">
      <c r="A274" s="3" t="s">
        <v>196</v>
      </c>
      <c r="B274" s="6">
        <v>43754</v>
      </c>
      <c r="C274" s="10" t="s">
        <v>8</v>
      </c>
      <c r="D274" s="3" t="s">
        <v>9</v>
      </c>
      <c r="E274" s="4">
        <v>34.76</v>
      </c>
      <c r="F274" s="3">
        <v>32</v>
      </c>
      <c r="G274" s="3">
        <f t="shared" si="12"/>
        <v>1112.32</v>
      </c>
      <c r="H274" s="3">
        <f t="shared" si="13"/>
        <v>55.616</v>
      </c>
      <c r="I274" s="7">
        <v>8.2200000000000006</v>
      </c>
      <c r="J274" s="5">
        <f t="shared" si="14"/>
        <v>1048.4839999999999</v>
      </c>
    </row>
    <row r="275" spans="1:10" x14ac:dyDescent="0.35">
      <c r="A275" s="3" t="s">
        <v>197</v>
      </c>
      <c r="B275" s="6">
        <v>43753</v>
      </c>
      <c r="C275" s="10" t="s">
        <v>8</v>
      </c>
      <c r="D275" s="3" t="s">
        <v>9</v>
      </c>
      <c r="E275" s="4">
        <v>8.6</v>
      </c>
      <c r="F275" s="3">
        <v>1</v>
      </c>
      <c r="G275" s="3">
        <f t="shared" si="12"/>
        <v>8.6</v>
      </c>
      <c r="H275" s="3">
        <f t="shared" si="13"/>
        <v>0.43</v>
      </c>
      <c r="I275" s="7">
        <v>6.19</v>
      </c>
      <c r="J275" s="5">
        <f t="shared" si="14"/>
        <v>1.9799999999999995</v>
      </c>
    </row>
    <row r="276" spans="1:10" x14ac:dyDescent="0.35">
      <c r="A276" s="3" t="s">
        <v>199</v>
      </c>
      <c r="B276" s="6">
        <v>43751</v>
      </c>
      <c r="C276" s="10" t="s">
        <v>8</v>
      </c>
      <c r="D276" s="3" t="s">
        <v>27</v>
      </c>
      <c r="E276" s="4">
        <v>4.26</v>
      </c>
      <c r="F276" s="3">
        <v>5</v>
      </c>
      <c r="G276" s="3">
        <f t="shared" si="12"/>
        <v>21.299999999999997</v>
      </c>
      <c r="H276" s="3">
        <f t="shared" si="13"/>
        <v>1.0649999999999999</v>
      </c>
      <c r="I276" s="7">
        <v>1.2</v>
      </c>
      <c r="J276" s="5">
        <f t="shared" si="14"/>
        <v>19.034999999999997</v>
      </c>
    </row>
    <row r="277" spans="1:10" x14ac:dyDescent="0.35">
      <c r="A277" s="3" t="s">
        <v>200</v>
      </c>
      <c r="B277" s="6">
        <v>43750</v>
      </c>
      <c r="C277" s="10" t="s">
        <v>8</v>
      </c>
      <c r="D277" s="3" t="s">
        <v>9</v>
      </c>
      <c r="E277" s="4">
        <v>10.89</v>
      </c>
      <c r="F277" s="3">
        <v>1</v>
      </c>
      <c r="G277" s="3">
        <f t="shared" si="12"/>
        <v>10.89</v>
      </c>
      <c r="H277" s="3">
        <f t="shared" si="13"/>
        <v>0.5445000000000001</v>
      </c>
      <c r="I277" s="7">
        <v>4.5</v>
      </c>
      <c r="J277" s="5">
        <f t="shared" si="14"/>
        <v>5.8455000000000013</v>
      </c>
    </row>
    <row r="278" spans="1:10" x14ac:dyDescent="0.35">
      <c r="A278" s="3" t="s">
        <v>202</v>
      </c>
      <c r="B278" s="6">
        <v>43748</v>
      </c>
      <c r="C278" s="10" t="s">
        <v>8</v>
      </c>
      <c r="D278" s="3" t="s">
        <v>9</v>
      </c>
      <c r="E278" s="4">
        <v>12.22</v>
      </c>
      <c r="F278" s="3">
        <v>10</v>
      </c>
      <c r="G278" s="3">
        <f t="shared" si="12"/>
        <v>122.2</v>
      </c>
      <c r="H278" s="3">
        <f t="shared" si="13"/>
        <v>6.11</v>
      </c>
      <c r="I278" s="7">
        <v>2.85</v>
      </c>
      <c r="J278" s="5">
        <f t="shared" si="14"/>
        <v>113.24000000000001</v>
      </c>
    </row>
    <row r="279" spans="1:10" x14ac:dyDescent="0.35">
      <c r="A279" s="3" t="s">
        <v>203</v>
      </c>
      <c r="B279" s="6">
        <v>43747</v>
      </c>
      <c r="C279" s="10" t="s">
        <v>8</v>
      </c>
      <c r="D279" s="3" t="s">
        <v>9</v>
      </c>
      <c r="E279" s="4">
        <v>83.98</v>
      </c>
      <c r="F279" s="3">
        <v>46</v>
      </c>
      <c r="G279" s="3">
        <f t="shared" si="12"/>
        <v>3863.0800000000004</v>
      </c>
      <c r="H279" s="3">
        <f t="shared" si="13"/>
        <v>193.15400000000002</v>
      </c>
      <c r="I279" s="7">
        <v>5.01</v>
      </c>
      <c r="J279" s="5">
        <f t="shared" si="14"/>
        <v>3664.9160000000002</v>
      </c>
    </row>
    <row r="280" spans="1:10" x14ac:dyDescent="0.35">
      <c r="A280" s="3" t="s">
        <v>204</v>
      </c>
      <c r="B280" s="6">
        <v>43746</v>
      </c>
      <c r="C280" s="10" t="s">
        <v>8</v>
      </c>
      <c r="D280" s="3" t="s">
        <v>9</v>
      </c>
      <c r="E280" s="4">
        <v>34.76</v>
      </c>
      <c r="F280" s="3">
        <v>47</v>
      </c>
      <c r="G280" s="3">
        <f t="shared" si="12"/>
        <v>1633.7199999999998</v>
      </c>
      <c r="H280" s="3">
        <f t="shared" si="13"/>
        <v>81.685999999999993</v>
      </c>
      <c r="I280" s="7">
        <v>8.2200000000000006</v>
      </c>
      <c r="J280" s="5">
        <f t="shared" si="14"/>
        <v>1543.8139999999999</v>
      </c>
    </row>
    <row r="281" spans="1:10" x14ac:dyDescent="0.35">
      <c r="A281" s="3" t="s">
        <v>207</v>
      </c>
      <c r="B281" s="6">
        <v>43743</v>
      </c>
      <c r="C281" s="10" t="s">
        <v>8</v>
      </c>
      <c r="D281" s="3" t="s">
        <v>9</v>
      </c>
      <c r="E281" s="4">
        <v>3.69</v>
      </c>
      <c r="F281" s="3">
        <v>47</v>
      </c>
      <c r="G281" s="3">
        <f t="shared" si="12"/>
        <v>173.43</v>
      </c>
      <c r="H281" s="3">
        <f t="shared" si="13"/>
        <v>8.6715</v>
      </c>
      <c r="I281" s="7">
        <v>0.5</v>
      </c>
      <c r="J281" s="5">
        <f t="shared" si="14"/>
        <v>164.2585</v>
      </c>
    </row>
    <row r="282" spans="1:10" x14ac:dyDescent="0.35">
      <c r="A282" s="3" t="s">
        <v>210</v>
      </c>
      <c r="B282" s="6">
        <v>43740</v>
      </c>
      <c r="C282" s="10" t="s">
        <v>8</v>
      </c>
      <c r="D282" s="3" t="s">
        <v>9</v>
      </c>
      <c r="E282" s="4">
        <v>5.68</v>
      </c>
      <c r="F282" s="3">
        <v>34</v>
      </c>
      <c r="G282" s="3">
        <f t="shared" si="12"/>
        <v>193.12</v>
      </c>
      <c r="H282" s="3">
        <f t="shared" si="13"/>
        <v>9.6560000000000006</v>
      </c>
      <c r="I282" s="7">
        <v>1.39</v>
      </c>
      <c r="J282" s="5">
        <f t="shared" si="14"/>
        <v>182.07400000000001</v>
      </c>
    </row>
    <row r="283" spans="1:10" x14ac:dyDescent="0.35">
      <c r="A283" s="3" t="s">
        <v>211</v>
      </c>
      <c r="B283" s="6">
        <v>43739</v>
      </c>
      <c r="C283" s="10" t="s">
        <v>8</v>
      </c>
      <c r="D283" s="3" t="s">
        <v>9</v>
      </c>
      <c r="E283" s="4">
        <v>210.55</v>
      </c>
      <c r="F283" s="3">
        <v>4</v>
      </c>
      <c r="G283" s="3">
        <f t="shared" si="12"/>
        <v>842.2</v>
      </c>
      <c r="H283" s="3">
        <f t="shared" si="13"/>
        <v>42.110000000000007</v>
      </c>
      <c r="I283" s="7">
        <v>9.99</v>
      </c>
      <c r="J283" s="5">
        <f t="shared" si="14"/>
        <v>790.1</v>
      </c>
    </row>
    <row r="284" spans="1:10" x14ac:dyDescent="0.35">
      <c r="A284" s="3" t="s">
        <v>213</v>
      </c>
      <c r="B284" s="6">
        <v>43737</v>
      </c>
      <c r="C284" s="10" t="s">
        <v>8</v>
      </c>
      <c r="D284" s="3" t="s">
        <v>9</v>
      </c>
      <c r="E284" s="4">
        <v>1.1399999999999999</v>
      </c>
      <c r="F284" s="3">
        <v>20</v>
      </c>
      <c r="G284" s="3">
        <f t="shared" si="12"/>
        <v>22.799999999999997</v>
      </c>
      <c r="H284" s="3">
        <f t="shared" si="13"/>
        <v>1.1399999999999999</v>
      </c>
      <c r="I284" s="7">
        <v>0.7</v>
      </c>
      <c r="J284" s="5">
        <f t="shared" si="14"/>
        <v>20.959999999999997</v>
      </c>
    </row>
    <row r="285" spans="1:10" x14ac:dyDescent="0.35">
      <c r="A285" s="3" t="s">
        <v>214</v>
      </c>
      <c r="B285" s="6">
        <v>43736</v>
      </c>
      <c r="C285" s="10" t="s">
        <v>8</v>
      </c>
      <c r="D285" s="3" t="s">
        <v>9</v>
      </c>
      <c r="E285" s="4">
        <v>5.58</v>
      </c>
      <c r="F285" s="3">
        <v>13</v>
      </c>
      <c r="G285" s="3">
        <f t="shared" si="12"/>
        <v>72.540000000000006</v>
      </c>
      <c r="H285" s="3">
        <f t="shared" si="13"/>
        <v>3.6270000000000007</v>
      </c>
      <c r="I285" s="7">
        <v>2.99</v>
      </c>
      <c r="J285" s="5">
        <f t="shared" si="14"/>
        <v>65.923000000000016</v>
      </c>
    </row>
    <row r="286" spans="1:10" x14ac:dyDescent="0.35">
      <c r="A286" s="3" t="s">
        <v>218</v>
      </c>
      <c r="B286" s="6">
        <v>43732</v>
      </c>
      <c r="C286" s="10" t="s">
        <v>8</v>
      </c>
      <c r="D286" s="3" t="s">
        <v>9</v>
      </c>
      <c r="E286" s="4">
        <v>2.88</v>
      </c>
      <c r="F286" s="3">
        <v>45</v>
      </c>
      <c r="G286" s="3">
        <f t="shared" si="12"/>
        <v>129.6</v>
      </c>
      <c r="H286" s="3">
        <f t="shared" si="13"/>
        <v>6.48</v>
      </c>
      <c r="I286" s="7">
        <v>1.49</v>
      </c>
      <c r="J286" s="5">
        <f t="shared" si="14"/>
        <v>121.63</v>
      </c>
    </row>
    <row r="287" spans="1:10" x14ac:dyDescent="0.35">
      <c r="A287" s="3" t="s">
        <v>219</v>
      </c>
      <c r="B287" s="6">
        <v>43731</v>
      </c>
      <c r="C287" s="10" t="s">
        <v>8</v>
      </c>
      <c r="D287" s="3" t="s">
        <v>9</v>
      </c>
      <c r="E287" s="4">
        <v>10.89</v>
      </c>
      <c r="F287" s="3">
        <v>39</v>
      </c>
      <c r="G287" s="3">
        <f t="shared" si="12"/>
        <v>424.71000000000004</v>
      </c>
      <c r="H287" s="3">
        <f t="shared" si="13"/>
        <v>21.235500000000002</v>
      </c>
      <c r="I287" s="7">
        <v>4.5</v>
      </c>
      <c r="J287" s="5">
        <f t="shared" si="14"/>
        <v>398.97450000000003</v>
      </c>
    </row>
    <row r="288" spans="1:10" x14ac:dyDescent="0.35">
      <c r="A288" s="3" t="s">
        <v>221</v>
      </c>
      <c r="B288" s="6">
        <v>43729</v>
      </c>
      <c r="C288" s="10" t="s">
        <v>8</v>
      </c>
      <c r="D288" s="3" t="s">
        <v>9</v>
      </c>
      <c r="E288" s="4">
        <v>15.98</v>
      </c>
      <c r="F288" s="3">
        <v>18</v>
      </c>
      <c r="G288" s="3">
        <f t="shared" si="12"/>
        <v>287.64</v>
      </c>
      <c r="H288" s="3">
        <f t="shared" si="13"/>
        <v>14.382</v>
      </c>
      <c r="I288" s="7">
        <v>6.5</v>
      </c>
      <c r="J288" s="5">
        <f t="shared" si="14"/>
        <v>266.75799999999998</v>
      </c>
    </row>
    <row r="289" spans="1:10" x14ac:dyDescent="0.35">
      <c r="A289" s="3" t="s">
        <v>223</v>
      </c>
      <c r="B289" s="6">
        <v>43727</v>
      </c>
      <c r="C289" s="10" t="s">
        <v>8</v>
      </c>
      <c r="D289" s="3" t="s">
        <v>9</v>
      </c>
      <c r="E289" s="4">
        <v>3.52</v>
      </c>
      <c r="F289" s="3">
        <v>32</v>
      </c>
      <c r="G289" s="3">
        <f t="shared" si="12"/>
        <v>112.64</v>
      </c>
      <c r="H289" s="3">
        <f t="shared" si="13"/>
        <v>5.6320000000000006</v>
      </c>
      <c r="I289" s="7">
        <v>6.83</v>
      </c>
      <c r="J289" s="5">
        <f t="shared" si="14"/>
        <v>100.178</v>
      </c>
    </row>
    <row r="290" spans="1:10" x14ac:dyDescent="0.35">
      <c r="A290" s="3" t="s">
        <v>229</v>
      </c>
      <c r="B290" s="6">
        <v>43721</v>
      </c>
      <c r="C290" s="10" t="s">
        <v>8</v>
      </c>
      <c r="D290" s="3" t="s">
        <v>9</v>
      </c>
      <c r="E290" s="4">
        <v>1.95</v>
      </c>
      <c r="F290" s="3">
        <v>23</v>
      </c>
      <c r="G290" s="3">
        <f t="shared" si="12"/>
        <v>44.85</v>
      </c>
      <c r="H290" s="3">
        <f t="shared" si="13"/>
        <v>2.2425000000000002</v>
      </c>
      <c r="I290" s="7">
        <v>1.63</v>
      </c>
      <c r="J290" s="5">
        <f t="shared" si="14"/>
        <v>40.977499999999999</v>
      </c>
    </row>
    <row r="291" spans="1:10" x14ac:dyDescent="0.35">
      <c r="A291" s="3" t="s">
        <v>233</v>
      </c>
      <c r="B291" s="6">
        <v>43717</v>
      </c>
      <c r="C291" s="10" t="s">
        <v>8</v>
      </c>
      <c r="D291" s="3" t="s">
        <v>27</v>
      </c>
      <c r="E291" s="4">
        <v>4.26</v>
      </c>
      <c r="F291" s="3">
        <v>34</v>
      </c>
      <c r="G291" s="3">
        <f t="shared" si="12"/>
        <v>144.84</v>
      </c>
      <c r="H291" s="3">
        <f t="shared" si="13"/>
        <v>7.2420000000000009</v>
      </c>
      <c r="I291" s="7">
        <v>1.2</v>
      </c>
      <c r="J291" s="5">
        <f t="shared" si="14"/>
        <v>136.39800000000002</v>
      </c>
    </row>
    <row r="292" spans="1:10" x14ac:dyDescent="0.35">
      <c r="A292" s="3" t="s">
        <v>234</v>
      </c>
      <c r="B292" s="6">
        <v>43716</v>
      </c>
      <c r="C292" s="10" t="s">
        <v>8</v>
      </c>
      <c r="D292" s="3" t="s">
        <v>9</v>
      </c>
      <c r="E292" s="4">
        <v>2.78</v>
      </c>
      <c r="F292" s="3">
        <v>10</v>
      </c>
      <c r="G292" s="3">
        <f t="shared" si="12"/>
        <v>27.799999999999997</v>
      </c>
      <c r="H292" s="3">
        <f t="shared" si="13"/>
        <v>1.39</v>
      </c>
      <c r="I292" s="7">
        <v>1.34</v>
      </c>
      <c r="J292" s="5">
        <f t="shared" si="14"/>
        <v>25.069999999999997</v>
      </c>
    </row>
    <row r="293" spans="1:10" x14ac:dyDescent="0.35">
      <c r="A293" s="3" t="s">
        <v>235</v>
      </c>
      <c r="B293" s="6">
        <v>43715</v>
      </c>
      <c r="C293" s="10" t="s">
        <v>8</v>
      </c>
      <c r="D293" s="3" t="s">
        <v>9</v>
      </c>
      <c r="E293" s="4">
        <v>9.31</v>
      </c>
      <c r="F293" s="3">
        <v>35</v>
      </c>
      <c r="G293" s="3">
        <f t="shared" si="12"/>
        <v>325.85000000000002</v>
      </c>
      <c r="H293" s="3">
        <f t="shared" si="13"/>
        <v>16.2925</v>
      </c>
      <c r="I293" s="7">
        <v>3.98</v>
      </c>
      <c r="J293" s="5">
        <f t="shared" si="14"/>
        <v>305.57749999999999</v>
      </c>
    </row>
    <row r="294" spans="1:10" x14ac:dyDescent="0.35">
      <c r="A294" s="3" t="s">
        <v>236</v>
      </c>
      <c r="B294" s="6">
        <v>43714</v>
      </c>
      <c r="C294" s="10" t="s">
        <v>8</v>
      </c>
      <c r="D294" s="3" t="s">
        <v>27</v>
      </c>
      <c r="E294" s="4">
        <v>1.26</v>
      </c>
      <c r="F294" s="3">
        <v>40</v>
      </c>
      <c r="G294" s="3">
        <f t="shared" si="12"/>
        <v>50.4</v>
      </c>
      <c r="H294" s="3">
        <f t="shared" si="13"/>
        <v>2.52</v>
      </c>
      <c r="I294" s="7">
        <v>0.7</v>
      </c>
      <c r="J294" s="5">
        <f t="shared" si="14"/>
        <v>47.179999999999993</v>
      </c>
    </row>
    <row r="295" spans="1:10" x14ac:dyDescent="0.35">
      <c r="A295" s="3" t="s">
        <v>237</v>
      </c>
      <c r="B295" s="6">
        <v>43713</v>
      </c>
      <c r="C295" s="10" t="s">
        <v>8</v>
      </c>
      <c r="D295" s="3" t="s">
        <v>9</v>
      </c>
      <c r="E295" s="4">
        <v>22.38</v>
      </c>
      <c r="F295" s="3">
        <v>16</v>
      </c>
      <c r="G295" s="3">
        <f t="shared" si="12"/>
        <v>358.08</v>
      </c>
      <c r="H295" s="3">
        <f t="shared" si="13"/>
        <v>17.904</v>
      </c>
      <c r="I295" s="7">
        <v>15.1</v>
      </c>
      <c r="J295" s="5">
        <f t="shared" si="14"/>
        <v>325.07599999999996</v>
      </c>
    </row>
    <row r="296" spans="1:10" x14ac:dyDescent="0.35">
      <c r="A296" s="3" t="s">
        <v>238</v>
      </c>
      <c r="B296" s="6">
        <v>43712</v>
      </c>
      <c r="C296" s="10" t="s">
        <v>8</v>
      </c>
      <c r="D296" s="3" t="s">
        <v>9</v>
      </c>
      <c r="E296" s="4">
        <v>2.08</v>
      </c>
      <c r="F296" s="3">
        <v>2</v>
      </c>
      <c r="G296" s="3">
        <f t="shared" si="12"/>
        <v>4.16</v>
      </c>
      <c r="H296" s="3">
        <f t="shared" si="13"/>
        <v>0.20800000000000002</v>
      </c>
      <c r="I296" s="7">
        <v>2.56</v>
      </c>
      <c r="J296" s="5">
        <f t="shared" si="14"/>
        <v>1.3919999999999999</v>
      </c>
    </row>
    <row r="297" spans="1:10" x14ac:dyDescent="0.35">
      <c r="A297" s="3" t="s">
        <v>244</v>
      </c>
      <c r="B297" s="6">
        <v>43706</v>
      </c>
      <c r="C297" s="10" t="s">
        <v>8</v>
      </c>
      <c r="D297" s="3" t="s">
        <v>9</v>
      </c>
      <c r="E297" s="4">
        <v>2.61</v>
      </c>
      <c r="F297" s="3">
        <v>8</v>
      </c>
      <c r="G297" s="3">
        <f t="shared" si="12"/>
        <v>20.88</v>
      </c>
      <c r="H297" s="3">
        <f t="shared" si="13"/>
        <v>1.044</v>
      </c>
      <c r="I297" s="7">
        <v>0.5</v>
      </c>
      <c r="J297" s="5">
        <f t="shared" si="14"/>
        <v>19.335999999999999</v>
      </c>
    </row>
    <row r="298" spans="1:10" x14ac:dyDescent="0.35">
      <c r="A298" s="3" t="s">
        <v>288</v>
      </c>
      <c r="B298" s="6">
        <v>43662</v>
      </c>
      <c r="C298" s="10" t="s">
        <v>8</v>
      </c>
      <c r="D298" s="3" t="s">
        <v>19</v>
      </c>
      <c r="E298" s="4">
        <v>300.97000000000003</v>
      </c>
      <c r="F298" s="3">
        <v>43</v>
      </c>
      <c r="G298" s="3">
        <f t="shared" si="12"/>
        <v>12941.710000000001</v>
      </c>
      <c r="H298" s="3">
        <f t="shared" si="13"/>
        <v>647.08550000000014</v>
      </c>
      <c r="I298" s="7">
        <v>7.18</v>
      </c>
      <c r="J298" s="5">
        <f t="shared" si="14"/>
        <v>12287.444500000001</v>
      </c>
    </row>
    <row r="299" spans="1:10" x14ac:dyDescent="0.35">
      <c r="A299" s="3" t="s">
        <v>290</v>
      </c>
      <c r="B299" s="6">
        <v>43660</v>
      </c>
      <c r="C299" s="10" t="s">
        <v>8</v>
      </c>
      <c r="D299" s="3" t="s">
        <v>19</v>
      </c>
      <c r="E299" s="4">
        <v>8.1199999999999992</v>
      </c>
      <c r="F299" s="3">
        <v>36</v>
      </c>
      <c r="G299" s="3">
        <f t="shared" si="12"/>
        <v>292.32</v>
      </c>
      <c r="H299" s="3">
        <f t="shared" si="13"/>
        <v>14.616</v>
      </c>
      <c r="I299" s="7">
        <v>2.83</v>
      </c>
      <c r="J299" s="5">
        <f t="shared" si="14"/>
        <v>274.87400000000002</v>
      </c>
    </row>
    <row r="300" spans="1:10" x14ac:dyDescent="0.35">
      <c r="A300" s="3" t="s">
        <v>294</v>
      </c>
      <c r="B300" s="6">
        <v>43656</v>
      </c>
      <c r="C300" s="10" t="s">
        <v>8</v>
      </c>
      <c r="D300" s="3" t="s">
        <v>19</v>
      </c>
      <c r="E300" s="4">
        <v>29.99</v>
      </c>
      <c r="F300" s="3">
        <v>14</v>
      </c>
      <c r="G300" s="3">
        <f t="shared" si="12"/>
        <v>419.85999999999996</v>
      </c>
      <c r="H300" s="3">
        <f t="shared" si="13"/>
        <v>20.992999999999999</v>
      </c>
      <c r="I300" s="7">
        <v>5.5</v>
      </c>
      <c r="J300" s="5">
        <f t="shared" si="14"/>
        <v>393.36699999999996</v>
      </c>
    </row>
    <row r="301" spans="1:10" x14ac:dyDescent="0.35">
      <c r="A301" s="3" t="s">
        <v>296</v>
      </c>
      <c r="B301" s="6">
        <v>43654</v>
      </c>
      <c r="C301" s="10" t="s">
        <v>8</v>
      </c>
      <c r="D301" s="3" t="s">
        <v>19</v>
      </c>
      <c r="E301" s="4">
        <v>3.69</v>
      </c>
      <c r="F301" s="3">
        <v>41</v>
      </c>
      <c r="G301" s="3">
        <f t="shared" si="12"/>
        <v>151.29</v>
      </c>
      <c r="H301" s="3">
        <f t="shared" si="13"/>
        <v>7.5644999999999998</v>
      </c>
      <c r="I301" s="7">
        <v>0.5</v>
      </c>
      <c r="J301" s="5">
        <f t="shared" si="14"/>
        <v>143.22549999999998</v>
      </c>
    </row>
    <row r="302" spans="1:10" x14ac:dyDescent="0.35">
      <c r="A302" s="3" t="s">
        <v>302</v>
      </c>
      <c r="B302" s="6">
        <v>43647</v>
      </c>
      <c r="C302" s="10" t="s">
        <v>8</v>
      </c>
      <c r="D302" s="3" t="s">
        <v>19</v>
      </c>
      <c r="E302" s="4">
        <v>1.88</v>
      </c>
      <c r="F302" s="3">
        <v>39</v>
      </c>
      <c r="G302" s="3">
        <f t="shared" si="12"/>
        <v>73.319999999999993</v>
      </c>
      <c r="H302" s="3">
        <f t="shared" si="13"/>
        <v>3.6659999999999999</v>
      </c>
      <c r="I302" s="7">
        <v>1.49</v>
      </c>
      <c r="J302" s="5">
        <f t="shared" si="14"/>
        <v>68.164000000000001</v>
      </c>
    </row>
    <row r="303" spans="1:10" x14ac:dyDescent="0.35">
      <c r="A303" s="3" t="s">
        <v>306</v>
      </c>
      <c r="B303" s="6">
        <v>43643</v>
      </c>
      <c r="C303" s="10" t="s">
        <v>8</v>
      </c>
      <c r="D303" s="3" t="s">
        <v>19</v>
      </c>
      <c r="E303" s="4">
        <v>19.98</v>
      </c>
      <c r="F303" s="3">
        <v>18</v>
      </c>
      <c r="G303" s="3">
        <f t="shared" si="12"/>
        <v>359.64</v>
      </c>
      <c r="H303" s="3">
        <f t="shared" si="13"/>
        <v>17.981999999999999</v>
      </c>
      <c r="I303" s="7">
        <v>4</v>
      </c>
      <c r="J303" s="5">
        <f t="shared" si="14"/>
        <v>337.65800000000002</v>
      </c>
    </row>
    <row r="304" spans="1:10" x14ac:dyDescent="0.35">
      <c r="A304" s="3" t="s">
        <v>318</v>
      </c>
      <c r="B304" s="6">
        <v>43631</v>
      </c>
      <c r="C304" s="10" t="s">
        <v>8</v>
      </c>
      <c r="D304" s="3" t="s">
        <v>19</v>
      </c>
      <c r="E304" s="4">
        <v>6.47</v>
      </c>
      <c r="F304" s="3">
        <v>16</v>
      </c>
      <c r="G304" s="3">
        <f t="shared" si="12"/>
        <v>103.52</v>
      </c>
      <c r="H304" s="3">
        <f t="shared" si="13"/>
        <v>5.1760000000000002</v>
      </c>
      <c r="I304" s="7">
        <v>1.22</v>
      </c>
      <c r="J304" s="5">
        <f t="shared" si="14"/>
        <v>97.123999999999995</v>
      </c>
    </row>
    <row r="305" spans="1:10" x14ac:dyDescent="0.35">
      <c r="A305" s="3" t="s">
        <v>322</v>
      </c>
      <c r="B305" s="6">
        <v>43627</v>
      </c>
      <c r="C305" s="10" t="s">
        <v>8</v>
      </c>
      <c r="D305" s="3" t="s">
        <v>19</v>
      </c>
      <c r="E305" s="4">
        <v>3.08</v>
      </c>
      <c r="F305" s="3">
        <v>11</v>
      </c>
      <c r="G305" s="3">
        <f t="shared" si="12"/>
        <v>33.880000000000003</v>
      </c>
      <c r="H305" s="3">
        <f t="shared" si="13"/>
        <v>1.6940000000000002</v>
      </c>
      <c r="I305" s="7">
        <v>0.99</v>
      </c>
      <c r="J305" s="5">
        <f t="shared" si="14"/>
        <v>31.196000000000002</v>
      </c>
    </row>
    <row r="306" spans="1:10" x14ac:dyDescent="0.35">
      <c r="A306" s="3" t="s">
        <v>380</v>
      </c>
      <c r="B306" s="6">
        <v>43476</v>
      </c>
      <c r="C306" s="10" t="s">
        <v>8</v>
      </c>
      <c r="D306" s="3" t="s">
        <v>27</v>
      </c>
      <c r="E306" s="4">
        <v>415.88</v>
      </c>
      <c r="F306" s="3">
        <v>11</v>
      </c>
      <c r="G306" s="3">
        <f t="shared" si="12"/>
        <v>4574.68</v>
      </c>
      <c r="H306" s="3">
        <f t="shared" si="13"/>
        <v>228.73400000000004</v>
      </c>
      <c r="I306" s="7">
        <v>11.37</v>
      </c>
      <c r="J306" s="5">
        <f t="shared" si="14"/>
        <v>4334.576</v>
      </c>
    </row>
    <row r="307" spans="1:10" x14ac:dyDescent="0.35">
      <c r="A307" s="3" t="s">
        <v>382</v>
      </c>
      <c r="B307" s="6">
        <v>43474</v>
      </c>
      <c r="C307" s="10" t="s">
        <v>8</v>
      </c>
      <c r="D307" s="3" t="s">
        <v>27</v>
      </c>
      <c r="E307" s="4">
        <v>10.23</v>
      </c>
      <c r="F307" s="3">
        <v>46</v>
      </c>
      <c r="G307" s="3">
        <f t="shared" si="12"/>
        <v>470.58000000000004</v>
      </c>
      <c r="H307" s="3">
        <f t="shared" si="13"/>
        <v>23.529000000000003</v>
      </c>
      <c r="I307" s="7">
        <v>4.68</v>
      </c>
      <c r="J307" s="5">
        <f t="shared" si="14"/>
        <v>442.37100000000004</v>
      </c>
    </row>
    <row r="308" spans="1:10" x14ac:dyDescent="0.35">
      <c r="A308" s="3" t="s">
        <v>383</v>
      </c>
      <c r="B308" s="6">
        <v>43473</v>
      </c>
      <c r="C308" s="10" t="s">
        <v>8</v>
      </c>
      <c r="D308" s="3" t="s">
        <v>27</v>
      </c>
      <c r="E308" s="4">
        <v>5.98</v>
      </c>
      <c r="F308" s="3">
        <v>4</v>
      </c>
      <c r="G308" s="3">
        <f t="shared" si="12"/>
        <v>23.92</v>
      </c>
      <c r="H308" s="3">
        <f t="shared" si="13"/>
        <v>1.1960000000000002</v>
      </c>
      <c r="I308" s="7">
        <v>1.49</v>
      </c>
      <c r="J308" s="5">
        <f t="shared" si="14"/>
        <v>21.234000000000002</v>
      </c>
    </row>
    <row r="309" spans="1:10" x14ac:dyDescent="0.35">
      <c r="A309" s="3" t="s">
        <v>385</v>
      </c>
      <c r="B309" s="6">
        <v>43471</v>
      </c>
      <c r="C309" s="10" t="s">
        <v>8</v>
      </c>
      <c r="D309" s="3" t="s">
        <v>27</v>
      </c>
      <c r="E309" s="4">
        <v>210.55</v>
      </c>
      <c r="F309" s="3">
        <v>18</v>
      </c>
      <c r="G309" s="3">
        <f t="shared" si="12"/>
        <v>3789.9</v>
      </c>
      <c r="H309" s="3">
        <f t="shared" si="13"/>
        <v>189.495</v>
      </c>
      <c r="I309" s="7">
        <v>9.99</v>
      </c>
      <c r="J309" s="5">
        <f t="shared" si="14"/>
        <v>3590.4150000000004</v>
      </c>
    </row>
    <row r="310" spans="1:10" x14ac:dyDescent="0.35">
      <c r="A310" s="3" t="s">
        <v>387</v>
      </c>
      <c r="B310" s="6">
        <v>43469</v>
      </c>
      <c r="C310" s="10" t="s">
        <v>8</v>
      </c>
      <c r="D310" s="3" t="s">
        <v>27</v>
      </c>
      <c r="E310" s="4">
        <v>8.34</v>
      </c>
      <c r="F310" s="3">
        <v>21</v>
      </c>
      <c r="G310" s="3">
        <f t="shared" si="12"/>
        <v>175.14</v>
      </c>
      <c r="H310" s="3">
        <f t="shared" si="13"/>
        <v>8.7569999999999997</v>
      </c>
      <c r="I310" s="7">
        <v>2.64</v>
      </c>
      <c r="J310" s="5">
        <f t="shared" si="14"/>
        <v>163.74299999999999</v>
      </c>
    </row>
    <row r="311" spans="1:10" x14ac:dyDescent="0.35">
      <c r="A311" s="3" t="s">
        <v>389</v>
      </c>
      <c r="B311" s="6">
        <v>43466</v>
      </c>
      <c r="C311" s="10" t="s">
        <v>8</v>
      </c>
      <c r="D311" s="3" t="s">
        <v>27</v>
      </c>
      <c r="E311" s="4">
        <v>2.88</v>
      </c>
      <c r="F311" s="3">
        <v>29</v>
      </c>
      <c r="G311" s="3">
        <f t="shared" si="12"/>
        <v>83.52</v>
      </c>
      <c r="H311" s="3">
        <f t="shared" si="13"/>
        <v>4.1760000000000002</v>
      </c>
      <c r="I311" s="7">
        <v>0.99</v>
      </c>
      <c r="J311" s="5">
        <f t="shared" si="14"/>
        <v>78.353999999999999</v>
      </c>
    </row>
    <row r="312" spans="1:10" x14ac:dyDescent="0.35">
      <c r="A312" s="3" t="s">
        <v>395</v>
      </c>
      <c r="B312" s="6">
        <v>43459</v>
      </c>
      <c r="C312" s="10" t="s">
        <v>8</v>
      </c>
      <c r="D312" s="3" t="s">
        <v>27</v>
      </c>
      <c r="E312" s="4">
        <v>3.38</v>
      </c>
      <c r="F312" s="3">
        <v>31</v>
      </c>
      <c r="G312" s="3">
        <f t="shared" si="12"/>
        <v>104.78</v>
      </c>
      <c r="H312" s="3">
        <f t="shared" si="13"/>
        <v>5.2390000000000008</v>
      </c>
      <c r="I312" s="7">
        <v>0.85</v>
      </c>
      <c r="J312" s="5">
        <f t="shared" si="14"/>
        <v>98.691000000000003</v>
      </c>
    </row>
    <row r="313" spans="1:10" x14ac:dyDescent="0.35">
      <c r="A313" s="3" t="s">
        <v>396</v>
      </c>
      <c r="B313" s="6">
        <v>43458</v>
      </c>
      <c r="C313" s="10" t="s">
        <v>8</v>
      </c>
      <c r="D313" s="3" t="s">
        <v>27</v>
      </c>
      <c r="E313" s="4">
        <v>599.99</v>
      </c>
      <c r="F313" s="3">
        <v>50</v>
      </c>
      <c r="G313" s="3">
        <f t="shared" si="12"/>
        <v>29999.5</v>
      </c>
      <c r="H313" s="3">
        <f t="shared" si="13"/>
        <v>1499.9750000000001</v>
      </c>
      <c r="I313" s="7">
        <v>24.49</v>
      </c>
      <c r="J313" s="5">
        <f t="shared" si="14"/>
        <v>28475.035</v>
      </c>
    </row>
    <row r="314" spans="1:10" x14ac:dyDescent="0.35">
      <c r="A314" s="3" t="s">
        <v>397</v>
      </c>
      <c r="B314" s="6">
        <v>43457</v>
      </c>
      <c r="C314" s="10" t="s">
        <v>8</v>
      </c>
      <c r="D314" s="3" t="s">
        <v>27</v>
      </c>
      <c r="E314" s="4">
        <v>5.84</v>
      </c>
      <c r="F314" s="3">
        <v>12</v>
      </c>
      <c r="G314" s="3">
        <f t="shared" si="12"/>
        <v>70.08</v>
      </c>
      <c r="H314" s="3">
        <f t="shared" si="13"/>
        <v>3.504</v>
      </c>
      <c r="I314" s="7">
        <v>0.83</v>
      </c>
      <c r="J314" s="5">
        <f t="shared" si="14"/>
        <v>65.745999999999995</v>
      </c>
    </row>
    <row r="315" spans="1:10" x14ac:dyDescent="0.35">
      <c r="A315" s="3" t="s">
        <v>398</v>
      </c>
      <c r="B315" s="6">
        <v>43456</v>
      </c>
      <c r="C315" s="10" t="s">
        <v>8</v>
      </c>
      <c r="D315" s="3" t="s">
        <v>27</v>
      </c>
      <c r="E315" s="4">
        <v>19.98</v>
      </c>
      <c r="F315" s="3">
        <v>6</v>
      </c>
      <c r="G315" s="3">
        <f t="shared" si="12"/>
        <v>119.88</v>
      </c>
      <c r="H315" s="3">
        <f t="shared" si="13"/>
        <v>5.9939999999999998</v>
      </c>
      <c r="I315" s="7">
        <v>4</v>
      </c>
      <c r="J315" s="5">
        <f t="shared" si="14"/>
        <v>109.886</v>
      </c>
    </row>
    <row r="316" spans="1:10" x14ac:dyDescent="0.35">
      <c r="A316" s="3" t="s">
        <v>401</v>
      </c>
      <c r="B316" s="6">
        <v>43453</v>
      </c>
      <c r="C316" s="10" t="s">
        <v>8</v>
      </c>
      <c r="D316" s="3" t="s">
        <v>27</v>
      </c>
      <c r="E316" s="4">
        <v>5.74</v>
      </c>
      <c r="F316" s="3">
        <v>23</v>
      </c>
      <c r="G316" s="3">
        <f t="shared" si="12"/>
        <v>132.02000000000001</v>
      </c>
      <c r="H316" s="3">
        <f t="shared" si="13"/>
        <v>6.6010000000000009</v>
      </c>
      <c r="I316" s="7">
        <v>5.01</v>
      </c>
      <c r="J316" s="5">
        <f t="shared" si="14"/>
        <v>120.40900000000001</v>
      </c>
    </row>
    <row r="317" spans="1:10" x14ac:dyDescent="0.35">
      <c r="A317" s="3" t="s">
        <v>402</v>
      </c>
      <c r="B317" s="6">
        <v>43451</v>
      </c>
      <c r="C317" s="10" t="s">
        <v>8</v>
      </c>
      <c r="D317" s="3" t="s">
        <v>27</v>
      </c>
      <c r="E317" s="4">
        <v>15.98</v>
      </c>
      <c r="F317" s="3">
        <v>40</v>
      </c>
      <c r="G317" s="3">
        <f t="shared" si="12"/>
        <v>639.20000000000005</v>
      </c>
      <c r="H317" s="3">
        <f t="shared" si="13"/>
        <v>31.960000000000004</v>
      </c>
      <c r="I317" s="7">
        <v>4</v>
      </c>
      <c r="J317" s="5">
        <f t="shared" si="14"/>
        <v>603.24</v>
      </c>
    </row>
    <row r="318" spans="1:10" x14ac:dyDescent="0.35">
      <c r="A318" s="3" t="s">
        <v>403</v>
      </c>
      <c r="B318" s="6">
        <v>43449</v>
      </c>
      <c r="C318" s="10" t="s">
        <v>8</v>
      </c>
      <c r="D318" s="3" t="s">
        <v>27</v>
      </c>
      <c r="E318" s="4">
        <v>19.98</v>
      </c>
      <c r="F318" s="3">
        <v>35</v>
      </c>
      <c r="G318" s="3">
        <f t="shared" si="12"/>
        <v>699.30000000000007</v>
      </c>
      <c r="H318" s="3">
        <f t="shared" si="13"/>
        <v>34.965000000000003</v>
      </c>
      <c r="I318" s="7">
        <v>4</v>
      </c>
      <c r="J318" s="5">
        <f t="shared" si="14"/>
        <v>660.33500000000004</v>
      </c>
    </row>
    <row r="319" spans="1:10" x14ac:dyDescent="0.35">
      <c r="A319" s="3" t="s">
        <v>404</v>
      </c>
      <c r="B319" s="6">
        <v>43447</v>
      </c>
      <c r="C319" s="10" t="s">
        <v>8</v>
      </c>
      <c r="D319" s="3" t="s">
        <v>27</v>
      </c>
      <c r="E319" s="4">
        <v>5.53</v>
      </c>
      <c r="F319" s="3">
        <v>9</v>
      </c>
      <c r="G319" s="3">
        <f t="shared" si="12"/>
        <v>49.77</v>
      </c>
      <c r="H319" s="3">
        <f t="shared" si="13"/>
        <v>2.4885000000000002</v>
      </c>
      <c r="I319" s="7">
        <v>6.98</v>
      </c>
      <c r="J319" s="5">
        <f t="shared" si="14"/>
        <v>40.301500000000004</v>
      </c>
    </row>
    <row r="320" spans="1:10" x14ac:dyDescent="0.35">
      <c r="A320" s="3" t="s">
        <v>405</v>
      </c>
      <c r="B320" s="6">
        <v>43445</v>
      </c>
      <c r="C320" s="10" t="s">
        <v>8</v>
      </c>
      <c r="D320" s="3" t="s">
        <v>27</v>
      </c>
      <c r="E320" s="4">
        <v>120.97</v>
      </c>
      <c r="F320" s="3">
        <v>38</v>
      </c>
      <c r="G320" s="3">
        <f t="shared" si="12"/>
        <v>4596.8599999999997</v>
      </c>
      <c r="H320" s="3">
        <f t="shared" si="13"/>
        <v>229.84299999999999</v>
      </c>
      <c r="I320" s="7">
        <v>26.3</v>
      </c>
      <c r="J320" s="5">
        <f t="shared" si="14"/>
        <v>4340.7169999999996</v>
      </c>
    </row>
    <row r="321" spans="1:10" x14ac:dyDescent="0.35">
      <c r="A321" s="3" t="s">
        <v>409</v>
      </c>
      <c r="B321" s="6">
        <v>43441</v>
      </c>
      <c r="C321" s="10" t="s">
        <v>8</v>
      </c>
      <c r="D321" s="3" t="s">
        <v>27</v>
      </c>
      <c r="E321" s="4">
        <v>2.78</v>
      </c>
      <c r="F321" s="3">
        <v>34</v>
      </c>
      <c r="G321" s="3">
        <f t="shared" si="12"/>
        <v>94.52</v>
      </c>
      <c r="H321" s="3">
        <f t="shared" si="13"/>
        <v>4.726</v>
      </c>
      <c r="I321" s="7">
        <v>1.34</v>
      </c>
      <c r="J321" s="5">
        <f t="shared" si="14"/>
        <v>88.453999999999994</v>
      </c>
    </row>
    <row r="322" spans="1:10" x14ac:dyDescent="0.35">
      <c r="A322" s="3" t="s">
        <v>410</v>
      </c>
      <c r="B322" s="6">
        <v>43440</v>
      </c>
      <c r="C322" s="10" t="s">
        <v>8</v>
      </c>
      <c r="D322" s="3" t="s">
        <v>27</v>
      </c>
      <c r="E322" s="4">
        <v>5.53</v>
      </c>
      <c r="F322" s="3">
        <v>23</v>
      </c>
      <c r="G322" s="3">
        <f t="shared" si="12"/>
        <v>127.19000000000001</v>
      </c>
      <c r="H322" s="3">
        <f t="shared" si="13"/>
        <v>6.3595000000000006</v>
      </c>
      <c r="I322" s="7">
        <v>6.98</v>
      </c>
      <c r="J322" s="5">
        <f t="shared" si="14"/>
        <v>113.85050000000001</v>
      </c>
    </row>
    <row r="323" spans="1:10" x14ac:dyDescent="0.35">
      <c r="A323" s="3" t="s">
        <v>412</v>
      </c>
      <c r="B323" s="6">
        <v>43438</v>
      </c>
      <c r="C323" s="10" t="s">
        <v>8</v>
      </c>
      <c r="D323" s="3" t="s">
        <v>27</v>
      </c>
      <c r="E323" s="4">
        <v>7.28</v>
      </c>
      <c r="F323" s="3">
        <v>40</v>
      </c>
      <c r="G323" s="3">
        <f t="shared" ref="G323:G386" si="15">E323*F323</f>
        <v>291.2</v>
      </c>
      <c r="H323" s="3">
        <f t="shared" ref="H323:H386" si="16">G323*5%</f>
        <v>14.56</v>
      </c>
      <c r="I323" s="7">
        <v>11.15</v>
      </c>
      <c r="J323" s="5">
        <f t="shared" ref="J323:J386" si="17">G323-H323-I323</f>
        <v>265.49</v>
      </c>
    </row>
    <row r="324" spans="1:10" x14ac:dyDescent="0.35">
      <c r="A324" s="3" t="s">
        <v>415</v>
      </c>
      <c r="B324" s="6">
        <v>43435</v>
      </c>
      <c r="C324" s="10" t="s">
        <v>8</v>
      </c>
      <c r="D324" s="3" t="s">
        <v>27</v>
      </c>
      <c r="E324" s="4">
        <v>6.84</v>
      </c>
      <c r="F324" s="3">
        <v>35</v>
      </c>
      <c r="G324" s="3">
        <f t="shared" si="15"/>
        <v>239.4</v>
      </c>
      <c r="H324" s="3">
        <f t="shared" si="16"/>
        <v>11.97</v>
      </c>
      <c r="I324" s="7">
        <v>4.42</v>
      </c>
      <c r="J324" s="5">
        <f t="shared" si="17"/>
        <v>223.01000000000002</v>
      </c>
    </row>
    <row r="325" spans="1:10" x14ac:dyDescent="0.35">
      <c r="A325" s="3" t="s">
        <v>416</v>
      </c>
      <c r="B325" s="6">
        <v>43434</v>
      </c>
      <c r="C325" s="10" t="s">
        <v>8</v>
      </c>
      <c r="D325" s="3" t="s">
        <v>27</v>
      </c>
      <c r="E325" s="4">
        <v>36.549999999999997</v>
      </c>
      <c r="F325" s="3">
        <v>2</v>
      </c>
      <c r="G325" s="3">
        <f t="shared" si="15"/>
        <v>73.099999999999994</v>
      </c>
      <c r="H325" s="3">
        <f t="shared" si="16"/>
        <v>3.6549999999999998</v>
      </c>
      <c r="I325" s="7">
        <v>13.89</v>
      </c>
      <c r="J325" s="5">
        <f t="shared" si="17"/>
        <v>55.554999999999993</v>
      </c>
    </row>
    <row r="326" spans="1:10" x14ac:dyDescent="0.35">
      <c r="A326" s="3" t="s">
        <v>418</v>
      </c>
      <c r="B326" s="6">
        <v>43432</v>
      </c>
      <c r="C326" s="10" t="s">
        <v>8</v>
      </c>
      <c r="D326" s="3" t="s">
        <v>27</v>
      </c>
      <c r="E326" s="4">
        <v>500.97</v>
      </c>
      <c r="F326" s="3">
        <v>3</v>
      </c>
      <c r="G326" s="3">
        <f t="shared" si="15"/>
        <v>1502.91</v>
      </c>
      <c r="H326" s="3">
        <f t="shared" si="16"/>
        <v>75.145500000000013</v>
      </c>
      <c r="I326" s="7">
        <v>69.3</v>
      </c>
      <c r="J326" s="5">
        <f t="shared" si="17"/>
        <v>1358.4645</v>
      </c>
    </row>
    <row r="327" spans="1:10" x14ac:dyDescent="0.35">
      <c r="A327" s="3" t="s">
        <v>420</v>
      </c>
      <c r="B327" s="6">
        <v>43430</v>
      </c>
      <c r="C327" s="10" t="s">
        <v>8</v>
      </c>
      <c r="D327" s="3" t="s">
        <v>27</v>
      </c>
      <c r="E327" s="4">
        <v>3.52</v>
      </c>
      <c r="F327" s="3">
        <v>49</v>
      </c>
      <c r="G327" s="3">
        <f t="shared" si="15"/>
        <v>172.48</v>
      </c>
      <c r="H327" s="3">
        <f t="shared" si="16"/>
        <v>8.6240000000000006</v>
      </c>
      <c r="I327" s="7">
        <v>6.83</v>
      </c>
      <c r="J327" s="5">
        <f t="shared" si="17"/>
        <v>157.02599999999998</v>
      </c>
    </row>
    <row r="328" spans="1:10" x14ac:dyDescent="0.35">
      <c r="A328" s="3" t="s">
        <v>421</v>
      </c>
      <c r="B328" s="6">
        <v>43429</v>
      </c>
      <c r="C328" s="10" t="s">
        <v>8</v>
      </c>
      <c r="D328" s="3" t="s">
        <v>27</v>
      </c>
      <c r="E328" s="4">
        <v>3.08</v>
      </c>
      <c r="F328" s="3">
        <v>4</v>
      </c>
      <c r="G328" s="3">
        <f t="shared" si="15"/>
        <v>12.32</v>
      </c>
      <c r="H328" s="3">
        <f t="shared" si="16"/>
        <v>0.6160000000000001</v>
      </c>
      <c r="I328" s="7">
        <v>0.99</v>
      </c>
      <c r="J328" s="5">
        <f t="shared" si="17"/>
        <v>10.714</v>
      </c>
    </row>
    <row r="329" spans="1:10" x14ac:dyDescent="0.35">
      <c r="A329" s="3" t="s">
        <v>422</v>
      </c>
      <c r="B329" s="6">
        <v>43428</v>
      </c>
      <c r="C329" s="10" t="s">
        <v>8</v>
      </c>
      <c r="D329" s="3" t="s">
        <v>27</v>
      </c>
      <c r="E329" s="4">
        <v>7.08</v>
      </c>
      <c r="F329" s="3">
        <v>12</v>
      </c>
      <c r="G329" s="3">
        <f t="shared" si="15"/>
        <v>84.960000000000008</v>
      </c>
      <c r="H329" s="3">
        <f t="shared" si="16"/>
        <v>4.2480000000000002</v>
      </c>
      <c r="I329" s="7">
        <v>2.35</v>
      </c>
      <c r="J329" s="5">
        <f t="shared" si="17"/>
        <v>78.362000000000009</v>
      </c>
    </row>
    <row r="330" spans="1:10" x14ac:dyDescent="0.35">
      <c r="A330" s="3" t="s">
        <v>424</v>
      </c>
      <c r="B330" s="6">
        <v>43426</v>
      </c>
      <c r="C330" s="10" t="s">
        <v>8</v>
      </c>
      <c r="D330" s="3" t="s">
        <v>27</v>
      </c>
      <c r="E330" s="4">
        <v>3.85</v>
      </c>
      <c r="F330" s="3">
        <v>4</v>
      </c>
      <c r="G330" s="3">
        <f t="shared" si="15"/>
        <v>15.4</v>
      </c>
      <c r="H330" s="3">
        <f t="shared" si="16"/>
        <v>0.77</v>
      </c>
      <c r="I330" s="7">
        <v>0.7</v>
      </c>
      <c r="J330" s="5">
        <f t="shared" si="17"/>
        <v>13.930000000000001</v>
      </c>
    </row>
    <row r="331" spans="1:10" x14ac:dyDescent="0.35">
      <c r="A331" s="3" t="s">
        <v>425</v>
      </c>
      <c r="B331" s="6">
        <v>43425</v>
      </c>
      <c r="C331" s="10" t="s">
        <v>8</v>
      </c>
      <c r="D331" s="3" t="s">
        <v>27</v>
      </c>
      <c r="E331" s="4">
        <v>9.85</v>
      </c>
      <c r="F331" s="3">
        <v>41</v>
      </c>
      <c r="G331" s="3">
        <f t="shared" si="15"/>
        <v>403.84999999999997</v>
      </c>
      <c r="H331" s="3">
        <f t="shared" si="16"/>
        <v>20.192499999999999</v>
      </c>
      <c r="I331" s="7">
        <v>4.82</v>
      </c>
      <c r="J331" s="5">
        <f t="shared" si="17"/>
        <v>378.83749999999998</v>
      </c>
    </row>
    <row r="332" spans="1:10" x14ac:dyDescent="0.35">
      <c r="A332" s="3" t="s">
        <v>426</v>
      </c>
      <c r="B332" s="6">
        <v>43424</v>
      </c>
      <c r="C332" s="10" t="s">
        <v>8</v>
      </c>
      <c r="D332" s="3" t="s">
        <v>27</v>
      </c>
      <c r="E332" s="4">
        <v>6.23</v>
      </c>
      <c r="F332" s="3">
        <v>4</v>
      </c>
      <c r="G332" s="3">
        <f t="shared" si="15"/>
        <v>24.92</v>
      </c>
      <c r="H332" s="3">
        <f t="shared" si="16"/>
        <v>1.2460000000000002</v>
      </c>
      <c r="I332" s="7">
        <v>6.97</v>
      </c>
      <c r="J332" s="5">
        <f t="shared" si="17"/>
        <v>16.704000000000004</v>
      </c>
    </row>
    <row r="333" spans="1:10" x14ac:dyDescent="0.35">
      <c r="A333" s="3" t="s">
        <v>428</v>
      </c>
      <c r="B333" s="6">
        <v>43422</v>
      </c>
      <c r="C333" s="10" t="s">
        <v>8</v>
      </c>
      <c r="D333" s="3" t="s">
        <v>27</v>
      </c>
      <c r="E333" s="4">
        <v>15.98</v>
      </c>
      <c r="F333" s="3">
        <v>26</v>
      </c>
      <c r="G333" s="3">
        <f t="shared" si="15"/>
        <v>415.48</v>
      </c>
      <c r="H333" s="3">
        <f t="shared" si="16"/>
        <v>20.774000000000001</v>
      </c>
      <c r="I333" s="7">
        <v>4</v>
      </c>
      <c r="J333" s="5">
        <f t="shared" si="17"/>
        <v>390.70600000000002</v>
      </c>
    </row>
    <row r="334" spans="1:10" x14ac:dyDescent="0.35">
      <c r="A334" s="3" t="s">
        <v>429</v>
      </c>
      <c r="B334" s="6">
        <v>43421</v>
      </c>
      <c r="C334" s="10" t="s">
        <v>8</v>
      </c>
      <c r="D334" s="3" t="s">
        <v>27</v>
      </c>
      <c r="E334" s="4">
        <v>2.88</v>
      </c>
      <c r="F334" s="3">
        <v>9</v>
      </c>
      <c r="G334" s="3">
        <f t="shared" si="15"/>
        <v>25.919999999999998</v>
      </c>
      <c r="H334" s="3">
        <f t="shared" si="16"/>
        <v>1.296</v>
      </c>
      <c r="I334" s="7">
        <v>0.99</v>
      </c>
      <c r="J334" s="5">
        <f t="shared" si="17"/>
        <v>23.634</v>
      </c>
    </row>
    <row r="335" spans="1:10" x14ac:dyDescent="0.35">
      <c r="A335" s="3" t="s">
        <v>431</v>
      </c>
      <c r="B335" s="6">
        <v>43419</v>
      </c>
      <c r="C335" s="10" t="s">
        <v>8</v>
      </c>
      <c r="D335" s="3" t="s">
        <v>27</v>
      </c>
      <c r="E335" s="4">
        <v>7.64</v>
      </c>
      <c r="F335" s="3">
        <v>32</v>
      </c>
      <c r="G335" s="3">
        <f t="shared" si="15"/>
        <v>244.48</v>
      </c>
      <c r="H335" s="3">
        <f t="shared" si="16"/>
        <v>12.224</v>
      </c>
      <c r="I335" s="7">
        <v>1.39</v>
      </c>
      <c r="J335" s="5">
        <f t="shared" si="17"/>
        <v>230.86600000000001</v>
      </c>
    </row>
    <row r="336" spans="1:10" x14ac:dyDescent="0.35">
      <c r="A336" s="3" t="s">
        <v>434</v>
      </c>
      <c r="B336" s="6">
        <v>43416</v>
      </c>
      <c r="C336" s="10" t="s">
        <v>8</v>
      </c>
      <c r="D336" s="3" t="s">
        <v>27</v>
      </c>
      <c r="E336" s="4">
        <v>2.88</v>
      </c>
      <c r="F336" s="3">
        <v>22</v>
      </c>
      <c r="G336" s="3">
        <f t="shared" si="15"/>
        <v>63.36</v>
      </c>
      <c r="H336" s="3">
        <f t="shared" si="16"/>
        <v>3.1680000000000001</v>
      </c>
      <c r="I336" s="7">
        <v>1.49</v>
      </c>
      <c r="J336" s="5">
        <f t="shared" si="17"/>
        <v>58.701999999999998</v>
      </c>
    </row>
    <row r="337" spans="1:10" x14ac:dyDescent="0.35">
      <c r="A337" s="3" t="s">
        <v>435</v>
      </c>
      <c r="B337" s="6">
        <v>43415</v>
      </c>
      <c r="C337" s="10" t="s">
        <v>8</v>
      </c>
      <c r="D337" s="3" t="s">
        <v>27</v>
      </c>
      <c r="E337" s="4">
        <v>11.97</v>
      </c>
      <c r="F337" s="3">
        <v>30</v>
      </c>
      <c r="G337" s="3">
        <f t="shared" si="15"/>
        <v>359.1</v>
      </c>
      <c r="H337" s="3">
        <f t="shared" si="16"/>
        <v>17.955000000000002</v>
      </c>
      <c r="I337" s="7">
        <v>5.81</v>
      </c>
      <c r="J337" s="5">
        <f t="shared" si="17"/>
        <v>335.33500000000004</v>
      </c>
    </row>
    <row r="338" spans="1:10" x14ac:dyDescent="0.35">
      <c r="A338" s="3" t="s">
        <v>436</v>
      </c>
      <c r="B338" s="6">
        <v>43414</v>
      </c>
      <c r="C338" s="10" t="s">
        <v>8</v>
      </c>
      <c r="D338" s="3" t="s">
        <v>27</v>
      </c>
      <c r="E338" s="4">
        <v>7.28</v>
      </c>
      <c r="F338" s="3">
        <v>5</v>
      </c>
      <c r="G338" s="3">
        <f t="shared" si="15"/>
        <v>36.4</v>
      </c>
      <c r="H338" s="3">
        <f t="shared" si="16"/>
        <v>1.82</v>
      </c>
      <c r="I338" s="7">
        <v>11.15</v>
      </c>
      <c r="J338" s="5">
        <f t="shared" si="17"/>
        <v>23.43</v>
      </c>
    </row>
    <row r="339" spans="1:10" x14ac:dyDescent="0.35">
      <c r="A339" s="3" t="s">
        <v>564</v>
      </c>
      <c r="B339" s="6">
        <v>42968</v>
      </c>
      <c r="C339" s="10" t="s">
        <v>8</v>
      </c>
      <c r="D339" s="3" t="s">
        <v>9</v>
      </c>
      <c r="E339" s="4">
        <v>35.409999999999997</v>
      </c>
      <c r="F339" s="3">
        <v>38</v>
      </c>
      <c r="G339" s="3">
        <f t="shared" si="15"/>
        <v>1345.58</v>
      </c>
      <c r="H339" s="3">
        <f t="shared" si="16"/>
        <v>67.278999999999996</v>
      </c>
      <c r="I339" s="7">
        <v>1.99</v>
      </c>
      <c r="J339" s="5">
        <f t="shared" si="17"/>
        <v>1276.3109999999999</v>
      </c>
    </row>
    <row r="340" spans="1:10" x14ac:dyDescent="0.35">
      <c r="A340" s="3" t="s">
        <v>565</v>
      </c>
      <c r="B340" s="6">
        <v>42967</v>
      </c>
      <c r="C340" s="10" t="s">
        <v>8</v>
      </c>
      <c r="D340" s="3" t="s">
        <v>9</v>
      </c>
      <c r="E340" s="4">
        <v>29.74</v>
      </c>
      <c r="F340" s="3">
        <v>14</v>
      </c>
      <c r="G340" s="3">
        <f t="shared" si="15"/>
        <v>416.35999999999996</v>
      </c>
      <c r="H340" s="3">
        <f t="shared" si="16"/>
        <v>20.817999999999998</v>
      </c>
      <c r="I340" s="7">
        <v>6.64</v>
      </c>
      <c r="J340" s="5">
        <f t="shared" si="17"/>
        <v>388.90199999999999</v>
      </c>
    </row>
    <row r="341" spans="1:10" x14ac:dyDescent="0.35">
      <c r="A341" s="3" t="s">
        <v>567</v>
      </c>
      <c r="B341" s="6">
        <v>42964</v>
      </c>
      <c r="C341" s="10" t="s">
        <v>8</v>
      </c>
      <c r="D341" s="3" t="s">
        <v>27</v>
      </c>
      <c r="E341" s="4">
        <v>3.69</v>
      </c>
      <c r="F341" s="3">
        <v>35</v>
      </c>
      <c r="G341" s="3">
        <f t="shared" si="15"/>
        <v>129.15</v>
      </c>
      <c r="H341" s="3">
        <f t="shared" si="16"/>
        <v>6.4575000000000005</v>
      </c>
      <c r="I341" s="7">
        <v>2.5</v>
      </c>
      <c r="J341" s="5">
        <f t="shared" si="17"/>
        <v>120.19250000000001</v>
      </c>
    </row>
    <row r="342" spans="1:10" x14ac:dyDescent="0.35">
      <c r="A342" s="3" t="s">
        <v>569</v>
      </c>
      <c r="B342" s="6">
        <v>42962</v>
      </c>
      <c r="C342" s="10" t="s">
        <v>8</v>
      </c>
      <c r="D342" s="3" t="s">
        <v>9</v>
      </c>
      <c r="E342" s="4">
        <v>3.58</v>
      </c>
      <c r="F342" s="3">
        <v>38</v>
      </c>
      <c r="G342" s="3">
        <f t="shared" si="15"/>
        <v>136.04</v>
      </c>
      <c r="H342" s="3">
        <f t="shared" si="16"/>
        <v>6.8019999999999996</v>
      </c>
      <c r="I342" s="7">
        <v>1.63</v>
      </c>
      <c r="J342" s="5">
        <f t="shared" si="17"/>
        <v>127.608</v>
      </c>
    </row>
    <row r="343" spans="1:10" x14ac:dyDescent="0.35">
      <c r="A343" s="3" t="s">
        <v>570</v>
      </c>
      <c r="B343" s="6">
        <v>42961</v>
      </c>
      <c r="C343" s="10" t="s">
        <v>8</v>
      </c>
      <c r="D343" s="3" t="s">
        <v>9</v>
      </c>
      <c r="E343" s="4">
        <v>300.97000000000003</v>
      </c>
      <c r="F343" s="3">
        <v>14</v>
      </c>
      <c r="G343" s="3">
        <f t="shared" si="15"/>
        <v>4213.58</v>
      </c>
      <c r="H343" s="3">
        <f t="shared" si="16"/>
        <v>210.679</v>
      </c>
      <c r="I343" s="7">
        <v>7.18</v>
      </c>
      <c r="J343" s="5">
        <f t="shared" si="17"/>
        <v>3995.721</v>
      </c>
    </row>
    <row r="344" spans="1:10" x14ac:dyDescent="0.35">
      <c r="A344" s="3" t="s">
        <v>571</v>
      </c>
      <c r="B344" s="6">
        <v>42960</v>
      </c>
      <c r="C344" s="10" t="s">
        <v>8</v>
      </c>
      <c r="D344" s="3" t="s">
        <v>9</v>
      </c>
      <c r="E344" s="4">
        <v>6.3</v>
      </c>
      <c r="F344" s="3">
        <v>42</v>
      </c>
      <c r="G344" s="3">
        <f t="shared" si="15"/>
        <v>264.59999999999997</v>
      </c>
      <c r="H344" s="3">
        <f t="shared" si="16"/>
        <v>13.229999999999999</v>
      </c>
      <c r="I344" s="7">
        <v>0.5</v>
      </c>
      <c r="J344" s="5">
        <f t="shared" si="17"/>
        <v>250.86999999999998</v>
      </c>
    </row>
    <row r="345" spans="1:10" x14ac:dyDescent="0.35">
      <c r="A345" s="3" t="s">
        <v>572</v>
      </c>
      <c r="B345" s="6">
        <v>42959</v>
      </c>
      <c r="C345" s="10" t="s">
        <v>8</v>
      </c>
      <c r="D345" s="3" t="s">
        <v>27</v>
      </c>
      <c r="E345" s="4">
        <v>29.1</v>
      </c>
      <c r="F345" s="3">
        <v>33</v>
      </c>
      <c r="G345" s="3">
        <f t="shared" si="15"/>
        <v>960.30000000000007</v>
      </c>
      <c r="H345" s="3">
        <f t="shared" si="16"/>
        <v>48.015000000000008</v>
      </c>
      <c r="I345" s="7">
        <v>4</v>
      </c>
      <c r="J345" s="5">
        <f t="shared" si="17"/>
        <v>908.28500000000008</v>
      </c>
    </row>
    <row r="346" spans="1:10" x14ac:dyDescent="0.35">
      <c r="A346" s="3" t="s">
        <v>573</v>
      </c>
      <c r="B346" s="6">
        <v>42958</v>
      </c>
      <c r="C346" s="10" t="s">
        <v>8</v>
      </c>
      <c r="D346" s="3" t="s">
        <v>27</v>
      </c>
      <c r="E346" s="4">
        <v>7.28</v>
      </c>
      <c r="F346" s="3">
        <v>2</v>
      </c>
      <c r="G346" s="3">
        <f t="shared" si="15"/>
        <v>14.56</v>
      </c>
      <c r="H346" s="3">
        <f t="shared" si="16"/>
        <v>0.72800000000000009</v>
      </c>
      <c r="I346" s="7">
        <v>11.15</v>
      </c>
      <c r="J346" s="5">
        <f t="shared" si="17"/>
        <v>2.6820000000000004</v>
      </c>
    </row>
    <row r="347" spans="1:10" x14ac:dyDescent="0.35">
      <c r="A347" s="3" t="s">
        <v>576</v>
      </c>
      <c r="B347" s="6">
        <v>42955</v>
      </c>
      <c r="C347" s="10" t="s">
        <v>8</v>
      </c>
      <c r="D347" s="3" t="s">
        <v>9</v>
      </c>
      <c r="E347" s="4">
        <v>12.22</v>
      </c>
      <c r="F347" s="3">
        <v>35</v>
      </c>
      <c r="G347" s="3">
        <f t="shared" si="15"/>
        <v>427.70000000000005</v>
      </c>
      <c r="H347" s="3">
        <f t="shared" si="16"/>
        <v>21.385000000000005</v>
      </c>
      <c r="I347" s="7">
        <v>2.85</v>
      </c>
      <c r="J347" s="5">
        <f t="shared" si="17"/>
        <v>403.46500000000003</v>
      </c>
    </row>
    <row r="348" spans="1:10" x14ac:dyDescent="0.35">
      <c r="A348" s="3" t="s">
        <v>578</v>
      </c>
      <c r="B348" s="6">
        <v>42953</v>
      </c>
      <c r="C348" s="10" t="s">
        <v>8</v>
      </c>
      <c r="D348" s="3" t="s">
        <v>9</v>
      </c>
      <c r="E348" s="4">
        <v>15.99</v>
      </c>
      <c r="F348" s="3">
        <v>7</v>
      </c>
      <c r="G348" s="3">
        <f t="shared" si="15"/>
        <v>111.93</v>
      </c>
      <c r="H348" s="3">
        <f t="shared" si="16"/>
        <v>5.5965000000000007</v>
      </c>
      <c r="I348" s="7">
        <v>11.28</v>
      </c>
      <c r="J348" s="5">
        <f t="shared" si="17"/>
        <v>95.0535</v>
      </c>
    </row>
    <row r="349" spans="1:10" x14ac:dyDescent="0.35">
      <c r="A349" s="3" t="s">
        <v>581</v>
      </c>
      <c r="B349" s="6">
        <v>42950</v>
      </c>
      <c r="C349" s="10" t="s">
        <v>8</v>
      </c>
      <c r="D349" s="3" t="s">
        <v>27</v>
      </c>
      <c r="E349" s="4">
        <v>45.99</v>
      </c>
      <c r="F349" s="3">
        <v>14</v>
      </c>
      <c r="G349" s="3">
        <f t="shared" si="15"/>
        <v>643.86</v>
      </c>
      <c r="H349" s="3">
        <f t="shared" si="16"/>
        <v>32.193000000000005</v>
      </c>
      <c r="I349" s="7">
        <v>4.99</v>
      </c>
      <c r="J349" s="5">
        <f t="shared" si="17"/>
        <v>606.67700000000002</v>
      </c>
    </row>
    <row r="350" spans="1:10" x14ac:dyDescent="0.35">
      <c r="A350" s="3" t="s">
        <v>583</v>
      </c>
      <c r="B350" s="6">
        <v>42948</v>
      </c>
      <c r="C350" s="10" t="s">
        <v>8</v>
      </c>
      <c r="D350" s="3" t="s">
        <v>9</v>
      </c>
      <c r="E350" s="4">
        <v>36.549999999999997</v>
      </c>
      <c r="F350" s="3">
        <v>45</v>
      </c>
      <c r="G350" s="3">
        <f t="shared" si="15"/>
        <v>1644.7499999999998</v>
      </c>
      <c r="H350" s="3">
        <f t="shared" si="16"/>
        <v>82.237499999999997</v>
      </c>
      <c r="I350" s="7">
        <v>13.89</v>
      </c>
      <c r="J350" s="5">
        <f t="shared" si="17"/>
        <v>1548.6224999999997</v>
      </c>
    </row>
    <row r="351" spans="1:10" x14ac:dyDescent="0.35">
      <c r="A351" s="3" t="s">
        <v>585</v>
      </c>
      <c r="B351" s="6">
        <v>42946</v>
      </c>
      <c r="C351" s="10" t="s">
        <v>8</v>
      </c>
      <c r="D351" s="3" t="s">
        <v>9</v>
      </c>
      <c r="E351" s="4">
        <v>100.97</v>
      </c>
      <c r="F351" s="3">
        <v>15</v>
      </c>
      <c r="G351" s="3">
        <f t="shared" si="15"/>
        <v>1514.55</v>
      </c>
      <c r="H351" s="3">
        <f t="shared" si="16"/>
        <v>75.727500000000006</v>
      </c>
      <c r="I351" s="7">
        <v>7.18</v>
      </c>
      <c r="J351" s="5">
        <f t="shared" si="17"/>
        <v>1431.6424999999999</v>
      </c>
    </row>
    <row r="352" spans="1:10" x14ac:dyDescent="0.35">
      <c r="A352" s="3" t="s">
        <v>15</v>
      </c>
      <c r="B352" s="6">
        <v>43933</v>
      </c>
      <c r="C352" s="10" t="s">
        <v>587</v>
      </c>
      <c r="D352" s="3" t="s">
        <v>9</v>
      </c>
      <c r="E352" s="4">
        <v>2.61</v>
      </c>
      <c r="F352" s="3">
        <v>38</v>
      </c>
      <c r="G352" s="3">
        <f t="shared" si="15"/>
        <v>99.179999999999993</v>
      </c>
      <c r="H352" s="3">
        <f t="shared" si="16"/>
        <v>4.9589999999999996</v>
      </c>
      <c r="I352" s="7">
        <v>0.5</v>
      </c>
      <c r="J352" s="5">
        <f t="shared" si="17"/>
        <v>93.720999999999989</v>
      </c>
    </row>
    <row r="353" spans="1:10" x14ac:dyDescent="0.35">
      <c r="A353" s="3" t="s">
        <v>18</v>
      </c>
      <c r="B353" s="6">
        <v>43930</v>
      </c>
      <c r="C353" s="10" t="s">
        <v>587</v>
      </c>
      <c r="D353" s="3" t="s">
        <v>19</v>
      </c>
      <c r="E353" s="4">
        <v>120.97</v>
      </c>
      <c r="F353" s="3">
        <v>4</v>
      </c>
      <c r="G353" s="3">
        <f t="shared" si="15"/>
        <v>483.88</v>
      </c>
      <c r="H353" s="3">
        <f t="shared" si="16"/>
        <v>24.194000000000003</v>
      </c>
      <c r="I353" s="7">
        <v>26.3</v>
      </c>
      <c r="J353" s="5">
        <f t="shared" si="17"/>
        <v>433.38599999999997</v>
      </c>
    </row>
    <row r="354" spans="1:10" x14ac:dyDescent="0.35">
      <c r="A354" s="3" t="s">
        <v>23</v>
      </c>
      <c r="B354" s="6">
        <v>43926</v>
      </c>
      <c r="C354" s="10" t="s">
        <v>587</v>
      </c>
      <c r="D354" s="3" t="s">
        <v>9</v>
      </c>
      <c r="E354" s="4">
        <v>3.85</v>
      </c>
      <c r="F354" s="3">
        <v>18</v>
      </c>
      <c r="G354" s="3">
        <f t="shared" si="15"/>
        <v>69.3</v>
      </c>
      <c r="H354" s="3">
        <f t="shared" si="16"/>
        <v>3.4649999999999999</v>
      </c>
      <c r="I354" s="7">
        <v>0.7</v>
      </c>
      <c r="J354" s="5">
        <f t="shared" si="17"/>
        <v>65.134999999999991</v>
      </c>
    </row>
    <row r="355" spans="1:10" x14ac:dyDescent="0.35">
      <c r="A355" s="3" t="s">
        <v>28</v>
      </c>
      <c r="B355" s="6">
        <v>43922</v>
      </c>
      <c r="C355" s="10" t="s">
        <v>587</v>
      </c>
      <c r="D355" s="3" t="s">
        <v>27</v>
      </c>
      <c r="E355" s="4">
        <v>30.98</v>
      </c>
      <c r="F355" s="3">
        <v>41</v>
      </c>
      <c r="G355" s="3">
        <f t="shared" si="15"/>
        <v>1270.18</v>
      </c>
      <c r="H355" s="3">
        <f t="shared" si="16"/>
        <v>63.509000000000007</v>
      </c>
      <c r="I355" s="7">
        <v>19.510000000000002</v>
      </c>
      <c r="J355" s="5">
        <f t="shared" si="17"/>
        <v>1187.1610000000001</v>
      </c>
    </row>
    <row r="356" spans="1:10" x14ac:dyDescent="0.35">
      <c r="A356" s="3" t="s">
        <v>35</v>
      </c>
      <c r="B356" s="6">
        <v>43915</v>
      </c>
      <c r="C356" s="10" t="s">
        <v>587</v>
      </c>
      <c r="D356" s="3" t="s">
        <v>9</v>
      </c>
      <c r="E356" s="4">
        <v>2.88</v>
      </c>
      <c r="F356" s="3">
        <v>26</v>
      </c>
      <c r="G356" s="3">
        <f t="shared" si="15"/>
        <v>74.88</v>
      </c>
      <c r="H356" s="3">
        <f t="shared" si="16"/>
        <v>3.7439999999999998</v>
      </c>
      <c r="I356" s="7">
        <v>0.99</v>
      </c>
      <c r="J356" s="5">
        <f t="shared" si="17"/>
        <v>70.146000000000001</v>
      </c>
    </row>
    <row r="357" spans="1:10" x14ac:dyDescent="0.35">
      <c r="A357" s="3" t="s">
        <v>40</v>
      </c>
      <c r="B357" s="6">
        <v>43910</v>
      </c>
      <c r="C357" s="10" t="s">
        <v>587</v>
      </c>
      <c r="D357" s="3" t="s">
        <v>9</v>
      </c>
      <c r="E357" s="4">
        <v>2.78</v>
      </c>
      <c r="F357" s="3">
        <v>48</v>
      </c>
      <c r="G357" s="3">
        <f t="shared" si="15"/>
        <v>133.44</v>
      </c>
      <c r="H357" s="3">
        <f t="shared" si="16"/>
        <v>6.6720000000000006</v>
      </c>
      <c r="I357" s="7">
        <v>1.2</v>
      </c>
      <c r="J357" s="5">
        <f t="shared" si="17"/>
        <v>125.568</v>
      </c>
    </row>
    <row r="358" spans="1:10" x14ac:dyDescent="0.35">
      <c r="A358" s="3" t="s">
        <v>42</v>
      </c>
      <c r="B358" s="6">
        <v>43908</v>
      </c>
      <c r="C358" s="10" t="s">
        <v>587</v>
      </c>
      <c r="D358" s="3" t="s">
        <v>9</v>
      </c>
      <c r="E358" s="4">
        <v>83.98</v>
      </c>
      <c r="F358" s="3">
        <v>38</v>
      </c>
      <c r="G358" s="3">
        <f t="shared" si="15"/>
        <v>3191.2400000000002</v>
      </c>
      <c r="H358" s="3">
        <f t="shared" si="16"/>
        <v>159.56200000000001</v>
      </c>
      <c r="I358" s="7">
        <v>5.01</v>
      </c>
      <c r="J358" s="5">
        <f t="shared" si="17"/>
        <v>3026.6680000000001</v>
      </c>
    </row>
    <row r="359" spans="1:10" x14ac:dyDescent="0.35">
      <c r="A359" s="3" t="s">
        <v>44</v>
      </c>
      <c r="B359" s="6">
        <v>43906</v>
      </c>
      <c r="C359" s="10" t="s">
        <v>587</v>
      </c>
      <c r="D359" s="3" t="s">
        <v>9</v>
      </c>
      <c r="E359" s="4">
        <v>1.88</v>
      </c>
      <c r="F359" s="3">
        <v>19</v>
      </c>
      <c r="G359" s="3">
        <f t="shared" si="15"/>
        <v>35.72</v>
      </c>
      <c r="H359" s="3">
        <f t="shared" si="16"/>
        <v>1.786</v>
      </c>
      <c r="I359" s="7">
        <v>1.49</v>
      </c>
      <c r="J359" s="5">
        <f t="shared" si="17"/>
        <v>32.443999999999996</v>
      </c>
    </row>
    <row r="360" spans="1:10" x14ac:dyDescent="0.35">
      <c r="A360" s="3" t="s">
        <v>46</v>
      </c>
      <c r="B360" s="6">
        <v>43904</v>
      </c>
      <c r="C360" s="10" t="s">
        <v>587</v>
      </c>
      <c r="D360" s="3" t="s">
        <v>9</v>
      </c>
      <c r="E360" s="4">
        <v>152.47999999999999</v>
      </c>
      <c r="F360" s="3">
        <v>12</v>
      </c>
      <c r="G360" s="3">
        <f t="shared" si="15"/>
        <v>1829.7599999999998</v>
      </c>
      <c r="H360" s="3">
        <f t="shared" si="16"/>
        <v>91.488</v>
      </c>
      <c r="I360" s="7">
        <v>4</v>
      </c>
      <c r="J360" s="5">
        <f t="shared" si="17"/>
        <v>1734.2719999999997</v>
      </c>
    </row>
    <row r="361" spans="1:10" x14ac:dyDescent="0.35">
      <c r="A361" s="3" t="s">
        <v>48</v>
      </c>
      <c r="B361" s="6">
        <v>43902</v>
      </c>
      <c r="C361" s="10" t="s">
        <v>587</v>
      </c>
      <c r="D361" s="3" t="s">
        <v>9</v>
      </c>
      <c r="E361" s="4">
        <v>4</v>
      </c>
      <c r="F361" s="3">
        <v>28</v>
      </c>
      <c r="G361" s="3">
        <f t="shared" si="15"/>
        <v>112</v>
      </c>
      <c r="H361" s="3">
        <f t="shared" si="16"/>
        <v>5.6000000000000005</v>
      </c>
      <c r="I361" s="7">
        <v>1.3</v>
      </c>
      <c r="J361" s="5">
        <f t="shared" si="17"/>
        <v>105.10000000000001</v>
      </c>
    </row>
    <row r="362" spans="1:10" x14ac:dyDescent="0.35">
      <c r="A362" s="3" t="s">
        <v>61</v>
      </c>
      <c r="B362" s="6">
        <v>43889</v>
      </c>
      <c r="C362" s="10" t="s">
        <v>587</v>
      </c>
      <c r="D362" s="3" t="s">
        <v>9</v>
      </c>
      <c r="E362" s="4">
        <v>19.98</v>
      </c>
      <c r="F362" s="3">
        <v>29</v>
      </c>
      <c r="G362" s="3">
        <f t="shared" si="15"/>
        <v>579.41999999999996</v>
      </c>
      <c r="H362" s="3">
        <f t="shared" si="16"/>
        <v>28.971</v>
      </c>
      <c r="I362" s="7">
        <v>4</v>
      </c>
      <c r="J362" s="5">
        <f t="shared" si="17"/>
        <v>546.44899999999996</v>
      </c>
    </row>
    <row r="363" spans="1:10" x14ac:dyDescent="0.35">
      <c r="A363" s="3" t="s">
        <v>63</v>
      </c>
      <c r="B363" s="6">
        <v>43887</v>
      </c>
      <c r="C363" s="10" t="s">
        <v>587</v>
      </c>
      <c r="D363" s="3" t="s">
        <v>9</v>
      </c>
      <c r="E363" s="4">
        <v>100.97</v>
      </c>
      <c r="F363" s="3">
        <v>42</v>
      </c>
      <c r="G363" s="3">
        <f t="shared" si="15"/>
        <v>4240.74</v>
      </c>
      <c r="H363" s="3">
        <f t="shared" si="16"/>
        <v>212.03700000000001</v>
      </c>
      <c r="I363" s="7">
        <v>7.18</v>
      </c>
      <c r="J363" s="5">
        <f t="shared" si="17"/>
        <v>4021.5230000000001</v>
      </c>
    </row>
    <row r="364" spans="1:10" x14ac:dyDescent="0.35">
      <c r="A364" s="3" t="s">
        <v>64</v>
      </c>
      <c r="B364" s="6">
        <v>43886</v>
      </c>
      <c r="C364" s="10" t="s">
        <v>587</v>
      </c>
      <c r="D364" s="3" t="s">
        <v>9</v>
      </c>
      <c r="E364" s="4">
        <v>6.08</v>
      </c>
      <c r="F364" s="3">
        <v>49</v>
      </c>
      <c r="G364" s="3">
        <f t="shared" si="15"/>
        <v>297.92</v>
      </c>
      <c r="H364" s="3">
        <f t="shared" si="16"/>
        <v>14.896000000000001</v>
      </c>
      <c r="I364" s="7">
        <v>1.17</v>
      </c>
      <c r="J364" s="5">
        <f t="shared" si="17"/>
        <v>281.85399999999998</v>
      </c>
    </row>
    <row r="365" spans="1:10" x14ac:dyDescent="0.35">
      <c r="A365" s="3" t="s">
        <v>66</v>
      </c>
      <c r="B365" s="6">
        <v>43884</v>
      </c>
      <c r="C365" s="10" t="s">
        <v>587</v>
      </c>
      <c r="D365" s="3" t="s">
        <v>9</v>
      </c>
      <c r="E365" s="4">
        <v>155.99</v>
      </c>
      <c r="F365" s="3">
        <v>24</v>
      </c>
      <c r="G365" s="3">
        <f t="shared" si="15"/>
        <v>3743.76</v>
      </c>
      <c r="H365" s="3">
        <f t="shared" si="16"/>
        <v>187.18800000000002</v>
      </c>
      <c r="I365" s="7">
        <v>8.08</v>
      </c>
      <c r="J365" s="5">
        <f t="shared" si="17"/>
        <v>3548.4920000000002</v>
      </c>
    </row>
    <row r="366" spans="1:10" x14ac:dyDescent="0.35">
      <c r="A366" s="3" t="s">
        <v>67</v>
      </c>
      <c r="B366" s="6">
        <v>43883</v>
      </c>
      <c r="C366" s="10" t="s">
        <v>587</v>
      </c>
      <c r="D366" s="3" t="s">
        <v>19</v>
      </c>
      <c r="E366" s="4">
        <v>449.99</v>
      </c>
      <c r="F366" s="3">
        <v>18</v>
      </c>
      <c r="G366" s="3">
        <f t="shared" si="15"/>
        <v>8099.82</v>
      </c>
      <c r="H366" s="3">
        <f t="shared" si="16"/>
        <v>404.99099999999999</v>
      </c>
      <c r="I366" s="7">
        <v>49</v>
      </c>
      <c r="J366" s="5">
        <f t="shared" si="17"/>
        <v>7645.8289999999997</v>
      </c>
    </row>
    <row r="367" spans="1:10" x14ac:dyDescent="0.35">
      <c r="A367" s="3" t="s">
        <v>162</v>
      </c>
      <c r="B367" s="6">
        <v>43788</v>
      </c>
      <c r="C367" s="10" t="s">
        <v>587</v>
      </c>
      <c r="D367" s="3" t="s">
        <v>9</v>
      </c>
      <c r="E367" s="4">
        <v>449.99</v>
      </c>
      <c r="F367" s="3">
        <v>3</v>
      </c>
      <c r="G367" s="3">
        <f t="shared" si="15"/>
        <v>1349.97</v>
      </c>
      <c r="H367" s="3">
        <f t="shared" si="16"/>
        <v>67.498500000000007</v>
      </c>
      <c r="I367" s="7">
        <v>24.49</v>
      </c>
      <c r="J367" s="5">
        <f t="shared" si="17"/>
        <v>1257.9815000000001</v>
      </c>
    </row>
    <row r="368" spans="1:10" x14ac:dyDescent="0.35">
      <c r="A368" s="3" t="s">
        <v>166</v>
      </c>
      <c r="B368" s="6">
        <v>43784</v>
      </c>
      <c r="C368" s="10" t="s">
        <v>587</v>
      </c>
      <c r="D368" s="3" t="s">
        <v>9</v>
      </c>
      <c r="E368" s="4">
        <v>5.43</v>
      </c>
      <c r="F368" s="3">
        <v>2</v>
      </c>
      <c r="G368" s="3">
        <f t="shared" si="15"/>
        <v>10.86</v>
      </c>
      <c r="H368" s="3">
        <f t="shared" si="16"/>
        <v>0.54300000000000004</v>
      </c>
      <c r="I368" s="7">
        <v>0.95</v>
      </c>
      <c r="J368" s="5">
        <f t="shared" si="17"/>
        <v>9.3670000000000009</v>
      </c>
    </row>
    <row r="369" spans="1:10" x14ac:dyDescent="0.35">
      <c r="A369" s="3" t="s">
        <v>169</v>
      </c>
      <c r="B369" s="6">
        <v>43781</v>
      </c>
      <c r="C369" s="10" t="s">
        <v>587</v>
      </c>
      <c r="D369" s="3" t="s">
        <v>9</v>
      </c>
      <c r="E369" s="4">
        <v>1.81</v>
      </c>
      <c r="F369" s="3">
        <v>50</v>
      </c>
      <c r="G369" s="3">
        <f t="shared" si="15"/>
        <v>90.5</v>
      </c>
      <c r="H369" s="3">
        <f t="shared" si="16"/>
        <v>4.5250000000000004</v>
      </c>
      <c r="I369" s="7">
        <v>0.75</v>
      </c>
      <c r="J369" s="5">
        <f t="shared" si="17"/>
        <v>85.224999999999994</v>
      </c>
    </row>
    <row r="370" spans="1:10" x14ac:dyDescent="0.35">
      <c r="A370" s="3" t="s">
        <v>180</v>
      </c>
      <c r="B370" s="6">
        <v>43770</v>
      </c>
      <c r="C370" s="10" t="s">
        <v>587</v>
      </c>
      <c r="D370" s="3" t="s">
        <v>9</v>
      </c>
      <c r="E370" s="4">
        <v>159.99</v>
      </c>
      <c r="F370" s="3">
        <v>31</v>
      </c>
      <c r="G370" s="3">
        <f t="shared" si="15"/>
        <v>4959.6900000000005</v>
      </c>
      <c r="H370" s="3">
        <f t="shared" si="16"/>
        <v>247.98450000000003</v>
      </c>
      <c r="I370" s="7">
        <v>5.5</v>
      </c>
      <c r="J370" s="5">
        <f t="shared" si="17"/>
        <v>4706.2055</v>
      </c>
    </row>
    <row r="371" spans="1:10" x14ac:dyDescent="0.35">
      <c r="A371" s="3" t="s">
        <v>190</v>
      </c>
      <c r="B371" s="6">
        <v>43760</v>
      </c>
      <c r="C371" s="10" t="s">
        <v>587</v>
      </c>
      <c r="D371" s="3" t="s">
        <v>9</v>
      </c>
      <c r="E371" s="4">
        <v>3.08</v>
      </c>
      <c r="F371" s="3">
        <v>11</v>
      </c>
      <c r="G371" s="3">
        <f t="shared" si="15"/>
        <v>33.880000000000003</v>
      </c>
      <c r="H371" s="3">
        <f t="shared" si="16"/>
        <v>1.6940000000000002</v>
      </c>
      <c r="I371" s="7">
        <v>0.99</v>
      </c>
      <c r="J371" s="5">
        <f t="shared" si="17"/>
        <v>31.196000000000002</v>
      </c>
    </row>
    <row r="372" spans="1:10" x14ac:dyDescent="0.35">
      <c r="A372" s="3" t="s">
        <v>198</v>
      </c>
      <c r="B372" s="6">
        <v>43752</v>
      </c>
      <c r="C372" s="10" t="s">
        <v>587</v>
      </c>
      <c r="D372" s="3" t="s">
        <v>9</v>
      </c>
      <c r="E372" s="4">
        <v>83.93</v>
      </c>
      <c r="F372" s="3">
        <v>5</v>
      </c>
      <c r="G372" s="3">
        <f t="shared" si="15"/>
        <v>419.65000000000003</v>
      </c>
      <c r="H372" s="3">
        <f t="shared" si="16"/>
        <v>20.982500000000002</v>
      </c>
      <c r="I372" s="7">
        <v>19.989999999999998</v>
      </c>
      <c r="J372" s="5">
        <f t="shared" si="17"/>
        <v>378.67750000000001</v>
      </c>
    </row>
    <row r="373" spans="1:10" x14ac:dyDescent="0.35">
      <c r="A373" s="3" t="s">
        <v>208</v>
      </c>
      <c r="B373" s="6">
        <v>43742</v>
      </c>
      <c r="C373" s="10" t="s">
        <v>587</v>
      </c>
      <c r="D373" s="3" t="s">
        <v>9</v>
      </c>
      <c r="E373" s="4">
        <v>2.08</v>
      </c>
      <c r="F373" s="3">
        <v>43</v>
      </c>
      <c r="G373" s="3">
        <f t="shared" si="15"/>
        <v>89.44</v>
      </c>
      <c r="H373" s="3">
        <f t="shared" si="16"/>
        <v>4.4720000000000004</v>
      </c>
      <c r="I373" s="7">
        <v>1.49</v>
      </c>
      <c r="J373" s="5">
        <f t="shared" si="17"/>
        <v>83.478000000000009</v>
      </c>
    </row>
    <row r="374" spans="1:10" x14ac:dyDescent="0.35">
      <c r="A374" s="3" t="s">
        <v>231</v>
      </c>
      <c r="B374" s="6">
        <v>43719</v>
      </c>
      <c r="C374" s="10" t="s">
        <v>587</v>
      </c>
      <c r="D374" s="3" t="s">
        <v>9</v>
      </c>
      <c r="E374" s="4">
        <v>6.23</v>
      </c>
      <c r="F374" s="3">
        <v>21</v>
      </c>
      <c r="G374" s="3">
        <f t="shared" si="15"/>
        <v>130.83000000000001</v>
      </c>
      <c r="H374" s="3">
        <f t="shared" si="16"/>
        <v>6.541500000000001</v>
      </c>
      <c r="I374" s="7">
        <v>6.97</v>
      </c>
      <c r="J374" s="5">
        <f t="shared" si="17"/>
        <v>117.31850000000001</v>
      </c>
    </row>
    <row r="375" spans="1:10" x14ac:dyDescent="0.35">
      <c r="A375" s="3" t="s">
        <v>239</v>
      </c>
      <c r="B375" s="6">
        <v>43711</v>
      </c>
      <c r="C375" s="10" t="s">
        <v>587</v>
      </c>
      <c r="D375" s="3" t="s">
        <v>9</v>
      </c>
      <c r="E375" s="4">
        <v>12.98</v>
      </c>
      <c r="F375" s="3">
        <v>45</v>
      </c>
      <c r="G375" s="3">
        <f t="shared" si="15"/>
        <v>584.1</v>
      </c>
      <c r="H375" s="3">
        <f t="shared" si="16"/>
        <v>29.205000000000002</v>
      </c>
      <c r="I375" s="7">
        <v>3.14</v>
      </c>
      <c r="J375" s="5">
        <f t="shared" si="17"/>
        <v>551.755</v>
      </c>
    </row>
    <row r="376" spans="1:10" x14ac:dyDescent="0.35">
      <c r="A376" s="3" t="s">
        <v>243</v>
      </c>
      <c r="B376" s="6">
        <v>43707</v>
      </c>
      <c r="C376" s="10" t="s">
        <v>587</v>
      </c>
      <c r="D376" s="3" t="s">
        <v>9</v>
      </c>
      <c r="E376" s="4">
        <v>5.68</v>
      </c>
      <c r="F376" s="3">
        <v>45</v>
      </c>
      <c r="G376" s="3">
        <f t="shared" si="15"/>
        <v>255.6</v>
      </c>
      <c r="H376" s="3">
        <f t="shared" si="16"/>
        <v>12.780000000000001</v>
      </c>
      <c r="I376" s="7">
        <v>3.6</v>
      </c>
      <c r="J376" s="5">
        <f t="shared" si="17"/>
        <v>239.22</v>
      </c>
    </row>
    <row r="377" spans="1:10" x14ac:dyDescent="0.35">
      <c r="A377" s="3" t="s">
        <v>248</v>
      </c>
      <c r="B377" s="6">
        <v>43702</v>
      </c>
      <c r="C377" s="10" t="s">
        <v>587</v>
      </c>
      <c r="D377" s="3" t="s">
        <v>9</v>
      </c>
      <c r="E377" s="4">
        <v>2.88</v>
      </c>
      <c r="F377" s="3">
        <v>18</v>
      </c>
      <c r="G377" s="3">
        <f t="shared" si="15"/>
        <v>51.839999999999996</v>
      </c>
      <c r="H377" s="3">
        <f t="shared" si="16"/>
        <v>2.5920000000000001</v>
      </c>
      <c r="I377" s="7">
        <v>5.33</v>
      </c>
      <c r="J377" s="5">
        <f t="shared" si="17"/>
        <v>43.917999999999999</v>
      </c>
    </row>
    <row r="378" spans="1:10" x14ac:dyDescent="0.35">
      <c r="A378" s="3" t="s">
        <v>263</v>
      </c>
      <c r="B378" s="6">
        <v>43687</v>
      </c>
      <c r="C378" s="10" t="s">
        <v>587</v>
      </c>
      <c r="D378" s="3" t="s">
        <v>19</v>
      </c>
      <c r="E378" s="4">
        <v>449.99</v>
      </c>
      <c r="F378" s="3">
        <v>38</v>
      </c>
      <c r="G378" s="3">
        <f t="shared" si="15"/>
        <v>17099.62</v>
      </c>
      <c r="H378" s="3">
        <f t="shared" si="16"/>
        <v>854.98099999999999</v>
      </c>
      <c r="I378" s="7">
        <v>49</v>
      </c>
      <c r="J378" s="5">
        <f t="shared" si="17"/>
        <v>16195.638999999999</v>
      </c>
    </row>
    <row r="379" spans="1:10" x14ac:dyDescent="0.35">
      <c r="A379" s="3" t="s">
        <v>265</v>
      </c>
      <c r="B379" s="6">
        <v>43685</v>
      </c>
      <c r="C379" s="10" t="s">
        <v>587</v>
      </c>
      <c r="D379" s="3" t="s">
        <v>9</v>
      </c>
      <c r="E379" s="4">
        <v>2.62</v>
      </c>
      <c r="F379" s="3">
        <v>48</v>
      </c>
      <c r="G379" s="3">
        <f t="shared" si="15"/>
        <v>125.76</v>
      </c>
      <c r="H379" s="3">
        <f t="shared" si="16"/>
        <v>6.2880000000000003</v>
      </c>
      <c r="I379" s="7">
        <v>0.8</v>
      </c>
      <c r="J379" s="5">
        <f t="shared" si="17"/>
        <v>118.67200000000001</v>
      </c>
    </row>
    <row r="380" spans="1:10" x14ac:dyDescent="0.35">
      <c r="A380" s="3" t="s">
        <v>269</v>
      </c>
      <c r="B380" s="6">
        <v>43681</v>
      </c>
      <c r="C380" s="10" t="s">
        <v>587</v>
      </c>
      <c r="D380" s="3" t="s">
        <v>27</v>
      </c>
      <c r="E380" s="4">
        <v>10.23</v>
      </c>
      <c r="F380" s="3">
        <v>19</v>
      </c>
      <c r="G380" s="3">
        <f t="shared" si="15"/>
        <v>194.37</v>
      </c>
      <c r="H380" s="3">
        <f t="shared" si="16"/>
        <v>9.7185000000000006</v>
      </c>
      <c r="I380" s="7">
        <v>4.68</v>
      </c>
      <c r="J380" s="5">
        <f t="shared" si="17"/>
        <v>179.97149999999999</v>
      </c>
    </row>
    <row r="381" spans="1:10" x14ac:dyDescent="0.35">
      <c r="A381" s="3" t="s">
        <v>271</v>
      </c>
      <c r="B381" s="6">
        <v>43679</v>
      </c>
      <c r="C381" s="10" t="s">
        <v>587</v>
      </c>
      <c r="D381" s="3" t="s">
        <v>9</v>
      </c>
      <c r="E381" s="4">
        <v>9.85</v>
      </c>
      <c r="F381" s="3">
        <v>48</v>
      </c>
      <c r="G381" s="3">
        <f t="shared" si="15"/>
        <v>472.79999999999995</v>
      </c>
      <c r="H381" s="3">
        <f t="shared" si="16"/>
        <v>23.64</v>
      </c>
      <c r="I381" s="7">
        <v>4.82</v>
      </c>
      <c r="J381" s="5">
        <f t="shared" si="17"/>
        <v>444.34</v>
      </c>
    </row>
    <row r="382" spans="1:10" x14ac:dyDescent="0.35">
      <c r="A382" s="3" t="s">
        <v>272</v>
      </c>
      <c r="B382" s="6">
        <v>43678</v>
      </c>
      <c r="C382" s="10" t="s">
        <v>587</v>
      </c>
      <c r="D382" s="3" t="s">
        <v>9</v>
      </c>
      <c r="E382" s="4">
        <v>2.94</v>
      </c>
      <c r="F382" s="3">
        <v>18</v>
      </c>
      <c r="G382" s="3">
        <f t="shared" si="15"/>
        <v>52.92</v>
      </c>
      <c r="H382" s="3">
        <f t="shared" si="16"/>
        <v>2.6460000000000004</v>
      </c>
      <c r="I382" s="7">
        <v>0.81</v>
      </c>
      <c r="J382" s="5">
        <f t="shared" si="17"/>
        <v>49.463999999999999</v>
      </c>
    </row>
    <row r="383" spans="1:10" x14ac:dyDescent="0.35">
      <c r="A383" s="3" t="s">
        <v>274</v>
      </c>
      <c r="B383" s="6">
        <v>43676</v>
      </c>
      <c r="C383" s="10" t="s">
        <v>587</v>
      </c>
      <c r="D383" s="3" t="s">
        <v>19</v>
      </c>
      <c r="E383" s="4">
        <v>162.93</v>
      </c>
      <c r="F383" s="3">
        <v>22</v>
      </c>
      <c r="G383" s="3">
        <f t="shared" si="15"/>
        <v>3584.46</v>
      </c>
      <c r="H383" s="3">
        <f t="shared" si="16"/>
        <v>179.22300000000001</v>
      </c>
      <c r="I383" s="7">
        <v>19.989999999999998</v>
      </c>
      <c r="J383" s="5">
        <f t="shared" si="17"/>
        <v>3385.2470000000003</v>
      </c>
    </row>
    <row r="384" spans="1:10" x14ac:dyDescent="0.35">
      <c r="A384" s="3" t="s">
        <v>276</v>
      </c>
      <c r="B384" s="6">
        <v>43674</v>
      </c>
      <c r="C384" s="10" t="s">
        <v>587</v>
      </c>
      <c r="D384" s="3" t="s">
        <v>19</v>
      </c>
      <c r="E384" s="4">
        <v>3.98</v>
      </c>
      <c r="F384" s="3">
        <v>50</v>
      </c>
      <c r="G384" s="3">
        <f t="shared" si="15"/>
        <v>199</v>
      </c>
      <c r="H384" s="3">
        <f t="shared" si="16"/>
        <v>9.9500000000000011</v>
      </c>
      <c r="I384" s="7">
        <v>2.97</v>
      </c>
      <c r="J384" s="5">
        <f t="shared" si="17"/>
        <v>186.08</v>
      </c>
    </row>
    <row r="385" spans="1:10" x14ac:dyDescent="0.35">
      <c r="A385" s="3" t="s">
        <v>278</v>
      </c>
      <c r="B385" s="6">
        <v>43672</v>
      </c>
      <c r="C385" s="10" t="s">
        <v>587</v>
      </c>
      <c r="D385" s="3" t="s">
        <v>19</v>
      </c>
      <c r="E385" s="4">
        <v>40.97</v>
      </c>
      <c r="F385" s="3">
        <v>49</v>
      </c>
      <c r="G385" s="3">
        <f t="shared" si="15"/>
        <v>2007.53</v>
      </c>
      <c r="H385" s="3">
        <f t="shared" si="16"/>
        <v>100.37650000000001</v>
      </c>
      <c r="I385" s="7">
        <v>8.99</v>
      </c>
      <c r="J385" s="5">
        <f t="shared" si="17"/>
        <v>1898.1634999999999</v>
      </c>
    </row>
    <row r="386" spans="1:10" x14ac:dyDescent="0.35">
      <c r="A386" s="3" t="s">
        <v>282</v>
      </c>
      <c r="B386" s="6">
        <v>43668</v>
      </c>
      <c r="C386" s="10" t="s">
        <v>587</v>
      </c>
      <c r="D386" s="3" t="s">
        <v>19</v>
      </c>
      <c r="E386" s="4">
        <v>152.47999999999999</v>
      </c>
      <c r="F386" s="3">
        <v>27</v>
      </c>
      <c r="G386" s="3">
        <f t="shared" si="15"/>
        <v>4116.96</v>
      </c>
      <c r="H386" s="3">
        <f t="shared" si="16"/>
        <v>205.84800000000001</v>
      </c>
      <c r="I386" s="7">
        <v>6.5</v>
      </c>
      <c r="J386" s="5">
        <f t="shared" si="17"/>
        <v>3904.6120000000001</v>
      </c>
    </row>
    <row r="387" spans="1:10" x14ac:dyDescent="0.35">
      <c r="A387" s="3" t="s">
        <v>284</v>
      </c>
      <c r="B387" s="6">
        <v>43666</v>
      </c>
      <c r="C387" s="10" t="s">
        <v>587</v>
      </c>
      <c r="D387" s="3" t="s">
        <v>19</v>
      </c>
      <c r="E387" s="4">
        <v>3.71</v>
      </c>
      <c r="F387" s="3">
        <v>16</v>
      </c>
      <c r="G387" s="3">
        <f t="shared" ref="G387:G450" si="18">E387*F387</f>
        <v>59.36</v>
      </c>
      <c r="H387" s="3">
        <f t="shared" ref="H387:H450" si="19">G387*5%</f>
        <v>2.968</v>
      </c>
      <c r="I387" s="7">
        <v>1.93</v>
      </c>
      <c r="J387" s="5">
        <f t="shared" ref="J387:J450" si="20">G387-H387-I387</f>
        <v>54.461999999999996</v>
      </c>
    </row>
    <row r="388" spans="1:10" x14ac:dyDescent="0.35">
      <c r="A388" s="3" t="s">
        <v>308</v>
      </c>
      <c r="B388" s="6">
        <v>43641</v>
      </c>
      <c r="C388" s="10" t="s">
        <v>587</v>
      </c>
      <c r="D388" s="3" t="s">
        <v>19</v>
      </c>
      <c r="E388" s="4">
        <v>162.93</v>
      </c>
      <c r="F388" s="3">
        <v>41</v>
      </c>
      <c r="G388" s="3">
        <f t="shared" si="18"/>
        <v>6680.13</v>
      </c>
      <c r="H388" s="3">
        <f t="shared" si="19"/>
        <v>334.00650000000002</v>
      </c>
      <c r="I388" s="7">
        <v>19.989999999999998</v>
      </c>
      <c r="J388" s="5">
        <f t="shared" si="20"/>
        <v>6326.1334999999999</v>
      </c>
    </row>
    <row r="389" spans="1:10" x14ac:dyDescent="0.35">
      <c r="A389" s="3" t="s">
        <v>310</v>
      </c>
      <c r="B389" s="6">
        <v>43639</v>
      </c>
      <c r="C389" s="10" t="s">
        <v>587</v>
      </c>
      <c r="D389" s="3" t="s">
        <v>19</v>
      </c>
      <c r="E389" s="4">
        <v>2.6</v>
      </c>
      <c r="F389" s="3">
        <v>14</v>
      </c>
      <c r="G389" s="3">
        <f t="shared" si="18"/>
        <v>36.4</v>
      </c>
      <c r="H389" s="3">
        <f t="shared" si="19"/>
        <v>1.82</v>
      </c>
      <c r="I389" s="7">
        <v>2.4</v>
      </c>
      <c r="J389" s="5">
        <f t="shared" si="20"/>
        <v>32.18</v>
      </c>
    </row>
    <row r="390" spans="1:10" x14ac:dyDescent="0.35">
      <c r="A390" s="3" t="s">
        <v>312</v>
      </c>
      <c r="B390" s="6">
        <v>43637</v>
      </c>
      <c r="C390" s="10" t="s">
        <v>587</v>
      </c>
      <c r="D390" s="3" t="s">
        <v>19</v>
      </c>
      <c r="E390" s="4">
        <v>2.62</v>
      </c>
      <c r="F390" s="3">
        <v>26</v>
      </c>
      <c r="G390" s="3">
        <f t="shared" si="18"/>
        <v>68.12</v>
      </c>
      <c r="H390" s="3">
        <f t="shared" si="19"/>
        <v>3.4060000000000006</v>
      </c>
      <c r="I390" s="7">
        <v>0.8</v>
      </c>
      <c r="J390" s="5">
        <f t="shared" si="20"/>
        <v>63.914000000000001</v>
      </c>
    </row>
    <row r="391" spans="1:10" x14ac:dyDescent="0.35">
      <c r="A391" s="3" t="s">
        <v>314</v>
      </c>
      <c r="B391" s="6">
        <v>43635</v>
      </c>
      <c r="C391" s="10" t="s">
        <v>587</v>
      </c>
      <c r="D391" s="3" t="s">
        <v>19</v>
      </c>
      <c r="E391" s="4">
        <v>1.88</v>
      </c>
      <c r="F391" s="3">
        <v>20</v>
      </c>
      <c r="G391" s="3">
        <f t="shared" si="18"/>
        <v>37.599999999999994</v>
      </c>
      <c r="H391" s="3">
        <f t="shared" si="19"/>
        <v>1.88</v>
      </c>
      <c r="I391" s="7">
        <v>1.49</v>
      </c>
      <c r="J391" s="5">
        <f t="shared" si="20"/>
        <v>34.22999999999999</v>
      </c>
    </row>
    <row r="392" spans="1:10" x14ac:dyDescent="0.35">
      <c r="A392" s="3" t="s">
        <v>491</v>
      </c>
      <c r="B392" s="6">
        <v>43105</v>
      </c>
      <c r="C392" s="10" t="s">
        <v>587</v>
      </c>
      <c r="D392" s="3" t="s">
        <v>27</v>
      </c>
      <c r="E392" s="4">
        <v>5.74</v>
      </c>
      <c r="F392" s="3">
        <v>27</v>
      </c>
      <c r="G392" s="3">
        <f t="shared" si="18"/>
        <v>154.98000000000002</v>
      </c>
      <c r="H392" s="3">
        <f t="shared" si="19"/>
        <v>7.7490000000000014</v>
      </c>
      <c r="I392" s="7">
        <v>5.01</v>
      </c>
      <c r="J392" s="5">
        <f t="shared" si="20"/>
        <v>142.22100000000003</v>
      </c>
    </row>
    <row r="393" spans="1:10" x14ac:dyDescent="0.35">
      <c r="A393" s="3" t="s">
        <v>492</v>
      </c>
      <c r="B393" s="6">
        <v>43104</v>
      </c>
      <c r="C393" s="10" t="s">
        <v>587</v>
      </c>
      <c r="D393" s="3" t="s">
        <v>19</v>
      </c>
      <c r="E393" s="4">
        <v>119.99</v>
      </c>
      <c r="F393" s="3">
        <v>4</v>
      </c>
      <c r="G393" s="3">
        <f t="shared" si="18"/>
        <v>479.96</v>
      </c>
      <c r="H393" s="3">
        <f t="shared" si="19"/>
        <v>23.998000000000001</v>
      </c>
      <c r="I393" s="7">
        <v>14</v>
      </c>
      <c r="J393" s="5">
        <f t="shared" si="20"/>
        <v>441.96199999999999</v>
      </c>
    </row>
    <row r="394" spans="1:10" x14ac:dyDescent="0.35">
      <c r="A394" s="3" t="s">
        <v>493</v>
      </c>
      <c r="B394" s="6">
        <v>43103</v>
      </c>
      <c r="C394" s="10" t="s">
        <v>587</v>
      </c>
      <c r="D394" s="3" t="s">
        <v>9</v>
      </c>
      <c r="E394" s="4">
        <v>6.68</v>
      </c>
      <c r="F394" s="3">
        <v>15</v>
      </c>
      <c r="G394" s="3">
        <f t="shared" si="18"/>
        <v>100.19999999999999</v>
      </c>
      <c r="H394" s="3">
        <f t="shared" si="19"/>
        <v>5.01</v>
      </c>
      <c r="I394" s="7">
        <v>1.5</v>
      </c>
      <c r="J394" s="5">
        <f t="shared" si="20"/>
        <v>93.689999999999984</v>
      </c>
    </row>
    <row r="395" spans="1:10" x14ac:dyDescent="0.35">
      <c r="A395" s="3" t="s">
        <v>494</v>
      </c>
      <c r="B395" s="6">
        <v>43102</v>
      </c>
      <c r="C395" s="10" t="s">
        <v>587</v>
      </c>
      <c r="D395" s="3" t="s">
        <v>9</v>
      </c>
      <c r="E395" s="4">
        <v>7.28</v>
      </c>
      <c r="F395" s="3">
        <v>3</v>
      </c>
      <c r="G395" s="3">
        <f t="shared" si="18"/>
        <v>21.84</v>
      </c>
      <c r="H395" s="3">
        <f t="shared" si="19"/>
        <v>1.0920000000000001</v>
      </c>
      <c r="I395" s="7">
        <v>11.15</v>
      </c>
      <c r="J395" s="5">
        <f t="shared" si="20"/>
        <v>9.5980000000000008</v>
      </c>
    </row>
    <row r="396" spans="1:10" x14ac:dyDescent="0.35">
      <c r="A396" s="3" t="s">
        <v>495</v>
      </c>
      <c r="B396" s="6">
        <v>43101</v>
      </c>
      <c r="C396" s="10" t="s">
        <v>587</v>
      </c>
      <c r="D396" s="3" t="s">
        <v>9</v>
      </c>
      <c r="E396" s="4">
        <v>2.62</v>
      </c>
      <c r="F396" s="3">
        <v>26</v>
      </c>
      <c r="G396" s="3">
        <f t="shared" si="18"/>
        <v>68.12</v>
      </c>
      <c r="H396" s="3">
        <f t="shared" si="19"/>
        <v>3.4060000000000006</v>
      </c>
      <c r="I396" s="7">
        <v>0.8</v>
      </c>
      <c r="J396" s="5">
        <f t="shared" si="20"/>
        <v>63.914000000000001</v>
      </c>
    </row>
    <row r="397" spans="1:10" x14ac:dyDescent="0.35">
      <c r="A397" s="3" t="s">
        <v>496</v>
      </c>
      <c r="B397" s="6">
        <v>43100</v>
      </c>
      <c r="C397" s="10" t="s">
        <v>587</v>
      </c>
      <c r="D397" s="3" t="s">
        <v>9</v>
      </c>
      <c r="E397" s="4">
        <v>35.94</v>
      </c>
      <c r="F397" s="3">
        <v>19</v>
      </c>
      <c r="G397" s="3">
        <f t="shared" si="18"/>
        <v>682.8599999999999</v>
      </c>
      <c r="H397" s="3">
        <f t="shared" si="19"/>
        <v>34.142999999999994</v>
      </c>
      <c r="I397" s="7">
        <v>6.66</v>
      </c>
      <c r="J397" s="5">
        <f t="shared" si="20"/>
        <v>642.0569999999999</v>
      </c>
    </row>
    <row r="398" spans="1:10" x14ac:dyDescent="0.35">
      <c r="A398" s="3" t="s">
        <v>497</v>
      </c>
      <c r="B398" s="6">
        <v>43099</v>
      </c>
      <c r="C398" s="10" t="s">
        <v>587</v>
      </c>
      <c r="D398" s="3" t="s">
        <v>27</v>
      </c>
      <c r="E398" s="4">
        <v>152.47999999999999</v>
      </c>
      <c r="F398" s="3">
        <v>2</v>
      </c>
      <c r="G398" s="3">
        <f t="shared" si="18"/>
        <v>304.95999999999998</v>
      </c>
      <c r="H398" s="3">
        <f t="shared" si="19"/>
        <v>15.247999999999999</v>
      </c>
      <c r="I398" s="7">
        <v>6.5</v>
      </c>
      <c r="J398" s="5">
        <f t="shared" si="20"/>
        <v>283.21199999999999</v>
      </c>
    </row>
    <row r="399" spans="1:10" x14ac:dyDescent="0.35">
      <c r="A399" s="3" t="s">
        <v>498</v>
      </c>
      <c r="B399" s="6">
        <v>43098</v>
      </c>
      <c r="C399" s="10" t="s">
        <v>587</v>
      </c>
      <c r="D399" s="3" t="s">
        <v>9</v>
      </c>
      <c r="E399" s="4">
        <v>8.57</v>
      </c>
      <c r="F399" s="3">
        <v>24</v>
      </c>
      <c r="G399" s="3">
        <f t="shared" si="18"/>
        <v>205.68</v>
      </c>
      <c r="H399" s="3">
        <f t="shared" si="19"/>
        <v>10.284000000000001</v>
      </c>
      <c r="I399" s="7">
        <v>6.14</v>
      </c>
      <c r="J399" s="5">
        <f t="shared" si="20"/>
        <v>189.25600000000003</v>
      </c>
    </row>
    <row r="400" spans="1:10" x14ac:dyDescent="0.35">
      <c r="A400" s="3" t="s">
        <v>499</v>
      </c>
      <c r="B400" s="6">
        <v>43097</v>
      </c>
      <c r="C400" s="10" t="s">
        <v>587</v>
      </c>
      <c r="D400" s="3" t="s">
        <v>9</v>
      </c>
      <c r="E400" s="4">
        <v>3.89</v>
      </c>
      <c r="F400" s="3">
        <v>47</v>
      </c>
      <c r="G400" s="3">
        <f t="shared" si="18"/>
        <v>182.83</v>
      </c>
      <c r="H400" s="3">
        <f t="shared" si="19"/>
        <v>9.1415000000000006</v>
      </c>
      <c r="I400" s="7">
        <v>7.01</v>
      </c>
      <c r="J400" s="5">
        <f t="shared" si="20"/>
        <v>166.67850000000001</v>
      </c>
    </row>
    <row r="401" spans="1:10" x14ac:dyDescent="0.35">
      <c r="A401" s="3" t="s">
        <v>500</v>
      </c>
      <c r="B401" s="6">
        <v>43096</v>
      </c>
      <c r="C401" s="10" t="s">
        <v>587</v>
      </c>
      <c r="D401" s="3" t="s">
        <v>9</v>
      </c>
      <c r="E401" s="4">
        <v>12.22</v>
      </c>
      <c r="F401" s="3">
        <v>27</v>
      </c>
      <c r="G401" s="3">
        <f t="shared" si="18"/>
        <v>329.94</v>
      </c>
      <c r="H401" s="3">
        <f t="shared" si="19"/>
        <v>16.497</v>
      </c>
      <c r="I401" s="7">
        <v>2.85</v>
      </c>
      <c r="J401" s="5">
        <f t="shared" si="20"/>
        <v>310.59299999999996</v>
      </c>
    </row>
    <row r="402" spans="1:10" x14ac:dyDescent="0.35">
      <c r="A402" s="3" t="s">
        <v>501</v>
      </c>
      <c r="B402" s="6">
        <v>43095</v>
      </c>
      <c r="C402" s="10" t="s">
        <v>587</v>
      </c>
      <c r="D402" s="3" t="s">
        <v>9</v>
      </c>
      <c r="E402" s="4">
        <v>2.94</v>
      </c>
      <c r="F402" s="3">
        <v>23</v>
      </c>
      <c r="G402" s="3">
        <f t="shared" si="18"/>
        <v>67.62</v>
      </c>
      <c r="H402" s="3">
        <f t="shared" si="19"/>
        <v>3.3810000000000002</v>
      </c>
      <c r="I402" s="7">
        <v>0.81</v>
      </c>
      <c r="J402" s="5">
        <f t="shared" si="20"/>
        <v>63.429000000000002</v>
      </c>
    </row>
    <row r="403" spans="1:10" x14ac:dyDescent="0.35">
      <c r="A403" s="3" t="s">
        <v>502</v>
      </c>
      <c r="B403" s="6">
        <v>43094</v>
      </c>
      <c r="C403" s="10" t="s">
        <v>587</v>
      </c>
      <c r="D403" s="3" t="s">
        <v>9</v>
      </c>
      <c r="E403" s="4">
        <v>19.98</v>
      </c>
      <c r="F403" s="3">
        <v>47</v>
      </c>
      <c r="G403" s="3">
        <f t="shared" si="18"/>
        <v>939.06000000000006</v>
      </c>
      <c r="H403" s="3">
        <f t="shared" si="19"/>
        <v>46.953000000000003</v>
      </c>
      <c r="I403" s="7">
        <v>5.77</v>
      </c>
      <c r="J403" s="5">
        <f t="shared" si="20"/>
        <v>886.3370000000001</v>
      </c>
    </row>
    <row r="404" spans="1:10" x14ac:dyDescent="0.35">
      <c r="A404" s="3" t="s">
        <v>503</v>
      </c>
      <c r="B404" s="6">
        <v>43093</v>
      </c>
      <c r="C404" s="10" t="s">
        <v>587</v>
      </c>
      <c r="D404" s="3" t="s">
        <v>9</v>
      </c>
      <c r="E404" s="4">
        <v>5.53</v>
      </c>
      <c r="F404" s="3">
        <v>17</v>
      </c>
      <c r="G404" s="3">
        <f t="shared" si="18"/>
        <v>94.01</v>
      </c>
      <c r="H404" s="3">
        <f t="shared" si="19"/>
        <v>4.7005000000000008</v>
      </c>
      <c r="I404" s="7">
        <v>6.98</v>
      </c>
      <c r="J404" s="5">
        <f t="shared" si="20"/>
        <v>82.329499999999996</v>
      </c>
    </row>
    <row r="405" spans="1:10" x14ac:dyDescent="0.35">
      <c r="A405" s="3" t="s">
        <v>504</v>
      </c>
      <c r="B405" s="6">
        <v>43092</v>
      </c>
      <c r="C405" s="10" t="s">
        <v>587</v>
      </c>
      <c r="D405" s="3" t="s">
        <v>9</v>
      </c>
      <c r="E405" s="4">
        <v>5.18</v>
      </c>
      <c r="F405" s="3">
        <v>8</v>
      </c>
      <c r="G405" s="3">
        <f t="shared" si="18"/>
        <v>41.44</v>
      </c>
      <c r="H405" s="3">
        <f t="shared" si="19"/>
        <v>2.0720000000000001</v>
      </c>
      <c r="I405" s="7">
        <v>2.04</v>
      </c>
      <c r="J405" s="5">
        <f t="shared" si="20"/>
        <v>37.327999999999996</v>
      </c>
    </row>
    <row r="406" spans="1:10" x14ac:dyDescent="0.35">
      <c r="A406" s="3" t="s">
        <v>505</v>
      </c>
      <c r="B406" s="6">
        <v>43091</v>
      </c>
      <c r="C406" s="10" t="s">
        <v>587</v>
      </c>
      <c r="D406" s="3" t="s">
        <v>27</v>
      </c>
      <c r="E406" s="4">
        <v>7.08</v>
      </c>
      <c r="F406" s="3">
        <v>29</v>
      </c>
      <c r="G406" s="3">
        <f t="shared" si="18"/>
        <v>205.32</v>
      </c>
      <c r="H406" s="3">
        <f t="shared" si="19"/>
        <v>10.266</v>
      </c>
      <c r="I406" s="7">
        <v>2.35</v>
      </c>
      <c r="J406" s="5">
        <f t="shared" si="20"/>
        <v>192.70400000000001</v>
      </c>
    </row>
    <row r="407" spans="1:10" x14ac:dyDescent="0.35">
      <c r="A407" s="3" t="s">
        <v>506</v>
      </c>
      <c r="B407" s="6">
        <v>43090</v>
      </c>
      <c r="C407" s="10" t="s">
        <v>587</v>
      </c>
      <c r="D407" s="3" t="s">
        <v>9</v>
      </c>
      <c r="E407" s="4">
        <v>3.69</v>
      </c>
      <c r="F407" s="3">
        <v>42</v>
      </c>
      <c r="G407" s="3">
        <f t="shared" si="18"/>
        <v>154.97999999999999</v>
      </c>
      <c r="H407" s="3">
        <f t="shared" si="19"/>
        <v>7.7489999999999997</v>
      </c>
      <c r="I407" s="7">
        <v>0.5</v>
      </c>
      <c r="J407" s="5">
        <f t="shared" si="20"/>
        <v>146.73099999999999</v>
      </c>
    </row>
    <row r="408" spans="1:10" x14ac:dyDescent="0.35">
      <c r="A408" s="3" t="s">
        <v>507</v>
      </c>
      <c r="B408" s="6">
        <v>43089</v>
      </c>
      <c r="C408" s="10" t="s">
        <v>587</v>
      </c>
      <c r="D408" s="3" t="s">
        <v>9</v>
      </c>
      <c r="E408" s="4">
        <v>9.85</v>
      </c>
      <c r="F408" s="3">
        <v>27</v>
      </c>
      <c r="G408" s="3">
        <f t="shared" si="18"/>
        <v>265.95</v>
      </c>
      <c r="H408" s="3">
        <f t="shared" si="19"/>
        <v>13.297499999999999</v>
      </c>
      <c r="I408" s="7">
        <v>4.82</v>
      </c>
      <c r="J408" s="5">
        <f t="shared" si="20"/>
        <v>247.83249999999998</v>
      </c>
    </row>
    <row r="409" spans="1:10" x14ac:dyDescent="0.35">
      <c r="A409" s="3" t="s">
        <v>508</v>
      </c>
      <c r="B409" s="6">
        <v>43088</v>
      </c>
      <c r="C409" s="10" t="s">
        <v>587</v>
      </c>
      <c r="D409" s="3" t="s">
        <v>9</v>
      </c>
      <c r="E409" s="4">
        <v>12.98</v>
      </c>
      <c r="F409" s="3">
        <v>40</v>
      </c>
      <c r="G409" s="3">
        <f t="shared" si="18"/>
        <v>519.20000000000005</v>
      </c>
      <c r="H409" s="3">
        <f t="shared" si="19"/>
        <v>25.960000000000004</v>
      </c>
      <c r="I409" s="7">
        <v>3.14</v>
      </c>
      <c r="J409" s="5">
        <f t="shared" si="20"/>
        <v>490.10000000000008</v>
      </c>
    </row>
    <row r="410" spans="1:10" x14ac:dyDescent="0.35">
      <c r="A410" s="3" t="s">
        <v>509</v>
      </c>
      <c r="B410" s="6">
        <v>43087</v>
      </c>
      <c r="C410" s="10" t="s">
        <v>587</v>
      </c>
      <c r="D410" s="3" t="s">
        <v>9</v>
      </c>
      <c r="E410" s="4">
        <v>7.3</v>
      </c>
      <c r="F410" s="3">
        <v>45</v>
      </c>
      <c r="G410" s="3">
        <f t="shared" si="18"/>
        <v>328.5</v>
      </c>
      <c r="H410" s="3">
        <f t="shared" si="19"/>
        <v>16.425000000000001</v>
      </c>
      <c r="I410" s="7">
        <v>7.72</v>
      </c>
      <c r="J410" s="5">
        <f t="shared" si="20"/>
        <v>304.35499999999996</v>
      </c>
    </row>
    <row r="411" spans="1:10" x14ac:dyDescent="0.35">
      <c r="A411" s="3" t="s">
        <v>510</v>
      </c>
      <c r="B411" s="6">
        <v>43086</v>
      </c>
      <c r="C411" s="10" t="s">
        <v>587</v>
      </c>
      <c r="D411" s="3" t="s">
        <v>9</v>
      </c>
      <c r="E411" s="4">
        <v>8.1199999999999992</v>
      </c>
      <c r="F411" s="3">
        <v>16</v>
      </c>
      <c r="G411" s="3">
        <f t="shared" si="18"/>
        <v>129.91999999999999</v>
      </c>
      <c r="H411" s="3">
        <f t="shared" si="19"/>
        <v>6.4959999999999996</v>
      </c>
      <c r="I411" s="7">
        <v>2.83</v>
      </c>
      <c r="J411" s="5">
        <f t="shared" si="20"/>
        <v>120.59399999999999</v>
      </c>
    </row>
    <row r="412" spans="1:10" x14ac:dyDescent="0.35">
      <c r="A412" s="3" t="s">
        <v>511</v>
      </c>
      <c r="B412" s="6">
        <v>43085</v>
      </c>
      <c r="C412" s="10" t="s">
        <v>587</v>
      </c>
      <c r="D412" s="3" t="s">
        <v>9</v>
      </c>
      <c r="E412" s="4">
        <v>3.08</v>
      </c>
      <c r="F412" s="3">
        <v>41</v>
      </c>
      <c r="G412" s="3">
        <f t="shared" si="18"/>
        <v>126.28</v>
      </c>
      <c r="H412" s="3">
        <f t="shared" si="19"/>
        <v>6.3140000000000001</v>
      </c>
      <c r="I412" s="7">
        <v>0.99</v>
      </c>
      <c r="J412" s="5">
        <f t="shared" si="20"/>
        <v>118.97600000000001</v>
      </c>
    </row>
    <row r="413" spans="1:10" x14ac:dyDescent="0.35">
      <c r="A413" s="3" t="s">
        <v>512</v>
      </c>
      <c r="B413" s="6">
        <v>43084</v>
      </c>
      <c r="C413" s="10" t="s">
        <v>587</v>
      </c>
      <c r="D413" s="3" t="s">
        <v>9</v>
      </c>
      <c r="E413" s="4">
        <v>8.1199999999999992</v>
      </c>
      <c r="F413" s="3">
        <v>37</v>
      </c>
      <c r="G413" s="3">
        <f t="shared" si="18"/>
        <v>300.44</v>
      </c>
      <c r="H413" s="3">
        <f t="shared" si="19"/>
        <v>15.022</v>
      </c>
      <c r="I413" s="7">
        <v>2.83</v>
      </c>
      <c r="J413" s="5">
        <f t="shared" si="20"/>
        <v>282.58800000000002</v>
      </c>
    </row>
    <row r="414" spans="1:10" x14ac:dyDescent="0.35">
      <c r="A414" s="3" t="s">
        <v>513</v>
      </c>
      <c r="B414" s="6">
        <v>43083</v>
      </c>
      <c r="C414" s="10" t="s">
        <v>587</v>
      </c>
      <c r="D414" s="3" t="s">
        <v>27</v>
      </c>
      <c r="E414" s="4">
        <v>40.97</v>
      </c>
      <c r="F414" s="3">
        <v>11</v>
      </c>
      <c r="G414" s="3">
        <f t="shared" si="18"/>
        <v>450.66999999999996</v>
      </c>
      <c r="H414" s="3">
        <f t="shared" si="19"/>
        <v>22.5335</v>
      </c>
      <c r="I414" s="7">
        <v>8.99</v>
      </c>
      <c r="J414" s="5">
        <f t="shared" si="20"/>
        <v>419.14649999999995</v>
      </c>
    </row>
    <row r="415" spans="1:10" x14ac:dyDescent="0.35">
      <c r="A415" s="3" t="s">
        <v>514</v>
      </c>
      <c r="B415" s="6">
        <v>43082</v>
      </c>
      <c r="C415" s="10" t="s">
        <v>587</v>
      </c>
      <c r="D415" s="3" t="s">
        <v>9</v>
      </c>
      <c r="E415" s="4">
        <v>5.4</v>
      </c>
      <c r="F415" s="3">
        <v>47</v>
      </c>
      <c r="G415" s="3">
        <f t="shared" si="18"/>
        <v>253.8</v>
      </c>
      <c r="H415" s="3">
        <f t="shared" si="19"/>
        <v>12.690000000000001</v>
      </c>
      <c r="I415" s="7">
        <v>7.78</v>
      </c>
      <c r="J415" s="5">
        <f t="shared" si="20"/>
        <v>233.33</v>
      </c>
    </row>
    <row r="416" spans="1:10" x14ac:dyDescent="0.35">
      <c r="A416" s="3" t="s">
        <v>515</v>
      </c>
      <c r="B416" s="6">
        <v>43068</v>
      </c>
      <c r="C416" s="10" t="s">
        <v>587</v>
      </c>
      <c r="D416" s="3" t="s">
        <v>9</v>
      </c>
      <c r="E416" s="4">
        <v>20.99</v>
      </c>
      <c r="F416" s="3">
        <v>25</v>
      </c>
      <c r="G416" s="3">
        <f t="shared" si="18"/>
        <v>524.75</v>
      </c>
      <c r="H416" s="3">
        <f t="shared" si="19"/>
        <v>26.237500000000001</v>
      </c>
      <c r="I416" s="7">
        <v>4.8099999999999996</v>
      </c>
      <c r="J416" s="5">
        <f t="shared" si="20"/>
        <v>493.70249999999999</v>
      </c>
    </row>
    <row r="417" spans="1:10" x14ac:dyDescent="0.35">
      <c r="A417" s="3" t="s">
        <v>516</v>
      </c>
      <c r="B417" s="6">
        <v>43067</v>
      </c>
      <c r="C417" s="10" t="s">
        <v>587</v>
      </c>
      <c r="D417" s="3" t="s">
        <v>9</v>
      </c>
      <c r="E417" s="4">
        <v>95.99</v>
      </c>
      <c r="F417" s="3">
        <v>17</v>
      </c>
      <c r="G417" s="3">
        <f t="shared" si="18"/>
        <v>1631.83</v>
      </c>
      <c r="H417" s="3">
        <f t="shared" si="19"/>
        <v>81.591499999999996</v>
      </c>
      <c r="I417" s="7">
        <v>8.99</v>
      </c>
      <c r="J417" s="5">
        <f t="shared" si="20"/>
        <v>1541.2484999999999</v>
      </c>
    </row>
    <row r="418" spans="1:10" x14ac:dyDescent="0.35">
      <c r="A418" s="3" t="s">
        <v>517</v>
      </c>
      <c r="B418" s="6">
        <v>43066</v>
      </c>
      <c r="C418" s="10" t="s">
        <v>587</v>
      </c>
      <c r="D418" s="3" t="s">
        <v>9</v>
      </c>
      <c r="E418" s="4">
        <v>2.08</v>
      </c>
      <c r="F418" s="3">
        <v>16</v>
      </c>
      <c r="G418" s="3">
        <f t="shared" si="18"/>
        <v>33.28</v>
      </c>
      <c r="H418" s="3">
        <f t="shared" si="19"/>
        <v>1.6640000000000001</v>
      </c>
      <c r="I418" s="7">
        <v>1.49</v>
      </c>
      <c r="J418" s="5">
        <f t="shared" si="20"/>
        <v>30.126000000000001</v>
      </c>
    </row>
    <row r="419" spans="1:10" x14ac:dyDescent="0.35">
      <c r="A419" s="3" t="s">
        <v>518</v>
      </c>
      <c r="B419" s="6">
        <v>43065</v>
      </c>
      <c r="C419" s="10" t="s">
        <v>587</v>
      </c>
      <c r="D419" s="3" t="s">
        <v>9</v>
      </c>
      <c r="E419" s="4">
        <v>415.88</v>
      </c>
      <c r="F419" s="3">
        <v>2</v>
      </c>
      <c r="G419" s="3">
        <f t="shared" si="18"/>
        <v>831.76</v>
      </c>
      <c r="H419" s="3">
        <f t="shared" si="19"/>
        <v>41.588000000000001</v>
      </c>
      <c r="I419" s="7">
        <v>11.37</v>
      </c>
      <c r="J419" s="5">
        <f t="shared" si="20"/>
        <v>778.80200000000002</v>
      </c>
    </row>
    <row r="420" spans="1:10" x14ac:dyDescent="0.35">
      <c r="A420" s="3" t="s">
        <v>519</v>
      </c>
      <c r="B420" s="6">
        <v>43064</v>
      </c>
      <c r="C420" s="10" t="s">
        <v>587</v>
      </c>
      <c r="D420" s="3" t="s">
        <v>27</v>
      </c>
      <c r="E420" s="4">
        <v>36.549999999999997</v>
      </c>
      <c r="F420" s="3">
        <v>46</v>
      </c>
      <c r="G420" s="3">
        <f t="shared" si="18"/>
        <v>1681.3</v>
      </c>
      <c r="H420" s="3">
        <f t="shared" si="19"/>
        <v>84.064999999999998</v>
      </c>
      <c r="I420" s="7">
        <v>13.89</v>
      </c>
      <c r="J420" s="5">
        <f t="shared" si="20"/>
        <v>1583.3449999999998</v>
      </c>
    </row>
    <row r="421" spans="1:10" x14ac:dyDescent="0.35">
      <c r="A421" s="3" t="s">
        <v>520</v>
      </c>
      <c r="B421" s="6">
        <v>43063</v>
      </c>
      <c r="C421" s="10" t="s">
        <v>587</v>
      </c>
      <c r="D421" s="3" t="s">
        <v>27</v>
      </c>
      <c r="E421" s="4">
        <v>35.409999999999997</v>
      </c>
      <c r="F421" s="3">
        <v>16</v>
      </c>
      <c r="G421" s="3">
        <f t="shared" si="18"/>
        <v>566.55999999999995</v>
      </c>
      <c r="H421" s="3">
        <f t="shared" si="19"/>
        <v>28.327999999999999</v>
      </c>
      <c r="I421" s="7">
        <v>1.99</v>
      </c>
      <c r="J421" s="5">
        <f t="shared" si="20"/>
        <v>536.24199999999996</v>
      </c>
    </row>
    <row r="422" spans="1:10" x14ac:dyDescent="0.35">
      <c r="A422" s="3" t="s">
        <v>521</v>
      </c>
      <c r="B422" s="6">
        <v>43062</v>
      </c>
      <c r="C422" s="10" t="s">
        <v>587</v>
      </c>
      <c r="D422" s="3" t="s">
        <v>9</v>
      </c>
      <c r="E422" s="4">
        <v>5.18</v>
      </c>
      <c r="F422" s="3">
        <v>10</v>
      </c>
      <c r="G422" s="3">
        <f t="shared" si="18"/>
        <v>51.8</v>
      </c>
      <c r="H422" s="3">
        <f t="shared" si="19"/>
        <v>2.59</v>
      </c>
      <c r="I422" s="7">
        <v>2.04</v>
      </c>
      <c r="J422" s="5">
        <f t="shared" si="20"/>
        <v>47.169999999999995</v>
      </c>
    </row>
    <row r="423" spans="1:10" x14ac:dyDescent="0.35">
      <c r="A423" s="3" t="s">
        <v>522</v>
      </c>
      <c r="B423" s="6">
        <v>43061</v>
      </c>
      <c r="C423" s="10" t="s">
        <v>587</v>
      </c>
      <c r="D423" s="3" t="s">
        <v>9</v>
      </c>
      <c r="E423" s="4">
        <v>54.1</v>
      </c>
      <c r="F423" s="3">
        <v>19</v>
      </c>
      <c r="G423" s="3">
        <f t="shared" si="18"/>
        <v>1027.9000000000001</v>
      </c>
      <c r="H423" s="3">
        <f t="shared" si="19"/>
        <v>51.39500000000001</v>
      </c>
      <c r="I423" s="7">
        <v>19.989999999999998</v>
      </c>
      <c r="J423" s="5">
        <f t="shared" si="20"/>
        <v>956.5150000000001</v>
      </c>
    </row>
    <row r="424" spans="1:10" x14ac:dyDescent="0.35">
      <c r="A424" s="3" t="s">
        <v>523</v>
      </c>
      <c r="B424" s="6">
        <v>43060</v>
      </c>
      <c r="C424" s="10" t="s">
        <v>587</v>
      </c>
      <c r="D424" s="3" t="s">
        <v>9</v>
      </c>
      <c r="E424" s="4">
        <v>5.18</v>
      </c>
      <c r="F424" s="3">
        <v>23</v>
      </c>
      <c r="G424" s="3">
        <f t="shared" si="18"/>
        <v>119.13999999999999</v>
      </c>
      <c r="H424" s="3">
        <f t="shared" si="19"/>
        <v>5.9569999999999999</v>
      </c>
      <c r="I424" s="7">
        <v>2.04</v>
      </c>
      <c r="J424" s="5">
        <f t="shared" si="20"/>
        <v>111.14299999999999</v>
      </c>
    </row>
    <row r="425" spans="1:10" x14ac:dyDescent="0.35">
      <c r="A425" s="3" t="s">
        <v>524</v>
      </c>
      <c r="B425" s="6">
        <v>43059</v>
      </c>
      <c r="C425" s="10" t="s">
        <v>587</v>
      </c>
      <c r="D425" s="3" t="s">
        <v>9</v>
      </c>
      <c r="E425" s="4">
        <v>34.76</v>
      </c>
      <c r="F425" s="3">
        <v>15</v>
      </c>
      <c r="G425" s="3">
        <f t="shared" si="18"/>
        <v>521.4</v>
      </c>
      <c r="H425" s="3">
        <f t="shared" si="19"/>
        <v>26.07</v>
      </c>
      <c r="I425" s="7">
        <v>8.2200000000000006</v>
      </c>
      <c r="J425" s="5">
        <f t="shared" si="20"/>
        <v>487.10999999999996</v>
      </c>
    </row>
    <row r="426" spans="1:10" x14ac:dyDescent="0.35">
      <c r="A426" s="3" t="s">
        <v>525</v>
      </c>
      <c r="B426" s="6">
        <v>43058</v>
      </c>
      <c r="C426" s="10" t="s">
        <v>587</v>
      </c>
      <c r="D426" s="3" t="s">
        <v>9</v>
      </c>
      <c r="E426" s="4">
        <v>15.99</v>
      </c>
      <c r="F426" s="3">
        <v>27</v>
      </c>
      <c r="G426" s="3">
        <f t="shared" si="18"/>
        <v>431.73</v>
      </c>
      <c r="H426" s="3">
        <f t="shared" si="19"/>
        <v>21.586500000000001</v>
      </c>
      <c r="I426" s="7">
        <v>11.28</v>
      </c>
      <c r="J426" s="5">
        <f t="shared" si="20"/>
        <v>398.86350000000004</v>
      </c>
    </row>
    <row r="427" spans="1:10" x14ac:dyDescent="0.35">
      <c r="A427" s="3" t="s">
        <v>526</v>
      </c>
      <c r="B427" s="6">
        <v>43057</v>
      </c>
      <c r="C427" s="10" t="s">
        <v>587</v>
      </c>
      <c r="D427" s="3" t="s">
        <v>9</v>
      </c>
      <c r="E427" s="4">
        <v>2.08</v>
      </c>
      <c r="F427" s="3">
        <v>43</v>
      </c>
      <c r="G427" s="3">
        <f t="shared" si="18"/>
        <v>89.44</v>
      </c>
      <c r="H427" s="3">
        <f t="shared" si="19"/>
        <v>4.4720000000000004</v>
      </c>
      <c r="I427" s="7">
        <v>2.56</v>
      </c>
      <c r="J427" s="5">
        <f t="shared" si="20"/>
        <v>82.408000000000001</v>
      </c>
    </row>
    <row r="428" spans="1:10" x14ac:dyDescent="0.35">
      <c r="A428" s="3" t="s">
        <v>527</v>
      </c>
      <c r="B428" s="6">
        <v>43056</v>
      </c>
      <c r="C428" s="10" t="s">
        <v>587</v>
      </c>
      <c r="D428" s="3" t="s">
        <v>9</v>
      </c>
      <c r="E428" s="4">
        <v>58.1</v>
      </c>
      <c r="F428" s="3">
        <v>7</v>
      </c>
      <c r="G428" s="3">
        <f t="shared" si="18"/>
        <v>406.7</v>
      </c>
      <c r="H428" s="3">
        <f t="shared" si="19"/>
        <v>20.335000000000001</v>
      </c>
      <c r="I428" s="7">
        <v>1.49</v>
      </c>
      <c r="J428" s="5">
        <f t="shared" si="20"/>
        <v>384.875</v>
      </c>
    </row>
    <row r="429" spans="1:10" x14ac:dyDescent="0.35">
      <c r="A429" s="3" t="s">
        <v>528</v>
      </c>
      <c r="B429" s="6">
        <v>43055</v>
      </c>
      <c r="C429" s="10" t="s">
        <v>587</v>
      </c>
      <c r="D429" s="3" t="s">
        <v>27</v>
      </c>
      <c r="E429" s="4">
        <v>22.38</v>
      </c>
      <c r="F429" s="3">
        <v>16</v>
      </c>
      <c r="G429" s="3">
        <f t="shared" si="18"/>
        <v>358.08</v>
      </c>
      <c r="H429" s="3">
        <f t="shared" si="19"/>
        <v>17.904</v>
      </c>
      <c r="I429" s="7">
        <v>15.1</v>
      </c>
      <c r="J429" s="5">
        <f t="shared" si="20"/>
        <v>325.07599999999996</v>
      </c>
    </row>
    <row r="430" spans="1:10" x14ac:dyDescent="0.35">
      <c r="A430" s="3" t="s">
        <v>529</v>
      </c>
      <c r="B430" s="6">
        <v>43054</v>
      </c>
      <c r="C430" s="10" t="s">
        <v>587</v>
      </c>
      <c r="D430" s="3" t="s">
        <v>9</v>
      </c>
      <c r="E430" s="4">
        <v>5.74</v>
      </c>
      <c r="F430" s="3">
        <v>3</v>
      </c>
      <c r="G430" s="3">
        <f t="shared" si="18"/>
        <v>17.22</v>
      </c>
      <c r="H430" s="3">
        <f t="shared" si="19"/>
        <v>0.86099999999999999</v>
      </c>
      <c r="I430" s="7">
        <v>5.01</v>
      </c>
      <c r="J430" s="5">
        <f t="shared" si="20"/>
        <v>11.348999999999998</v>
      </c>
    </row>
    <row r="431" spans="1:10" x14ac:dyDescent="0.35">
      <c r="A431" s="3" t="s">
        <v>530</v>
      </c>
      <c r="B431" s="6">
        <v>43053</v>
      </c>
      <c r="C431" s="10" t="s">
        <v>587</v>
      </c>
      <c r="D431" s="3" t="s">
        <v>27</v>
      </c>
      <c r="E431" s="4">
        <v>5.68</v>
      </c>
      <c r="F431" s="3">
        <v>46</v>
      </c>
      <c r="G431" s="3">
        <f t="shared" si="18"/>
        <v>261.27999999999997</v>
      </c>
      <c r="H431" s="3">
        <f t="shared" si="19"/>
        <v>13.064</v>
      </c>
      <c r="I431" s="7">
        <v>3.6</v>
      </c>
      <c r="J431" s="5">
        <f t="shared" si="20"/>
        <v>244.61599999999999</v>
      </c>
    </row>
    <row r="432" spans="1:10" x14ac:dyDescent="0.35">
      <c r="A432" s="3" t="s">
        <v>531</v>
      </c>
      <c r="B432" s="6">
        <v>43052</v>
      </c>
      <c r="C432" s="10" t="s">
        <v>587</v>
      </c>
      <c r="D432" s="3" t="s">
        <v>9</v>
      </c>
      <c r="E432" s="4">
        <v>10.89</v>
      </c>
      <c r="F432" s="3">
        <v>37</v>
      </c>
      <c r="G432" s="3">
        <f t="shared" si="18"/>
        <v>402.93</v>
      </c>
      <c r="H432" s="3">
        <f t="shared" si="19"/>
        <v>20.146500000000003</v>
      </c>
      <c r="I432" s="7">
        <v>4.5</v>
      </c>
      <c r="J432" s="5">
        <f t="shared" si="20"/>
        <v>378.2835</v>
      </c>
    </row>
    <row r="433" spans="1:10" x14ac:dyDescent="0.35">
      <c r="A433" s="3" t="s">
        <v>532</v>
      </c>
      <c r="B433" s="6">
        <v>43051</v>
      </c>
      <c r="C433" s="10" t="s">
        <v>587</v>
      </c>
      <c r="D433" s="3" t="s">
        <v>9</v>
      </c>
      <c r="E433" s="4">
        <v>7.64</v>
      </c>
      <c r="F433" s="3">
        <v>44</v>
      </c>
      <c r="G433" s="3">
        <f t="shared" si="18"/>
        <v>336.15999999999997</v>
      </c>
      <c r="H433" s="3">
        <f t="shared" si="19"/>
        <v>16.808</v>
      </c>
      <c r="I433" s="7">
        <v>1.39</v>
      </c>
      <c r="J433" s="5">
        <f t="shared" si="20"/>
        <v>317.96199999999999</v>
      </c>
    </row>
    <row r="434" spans="1:10" x14ac:dyDescent="0.35">
      <c r="A434" s="3" t="s">
        <v>533</v>
      </c>
      <c r="B434" s="6">
        <v>43050</v>
      </c>
      <c r="C434" s="10" t="s">
        <v>587</v>
      </c>
      <c r="D434" s="3" t="s">
        <v>9</v>
      </c>
      <c r="E434" s="4">
        <v>80.98</v>
      </c>
      <c r="F434" s="3">
        <v>34</v>
      </c>
      <c r="G434" s="3">
        <f t="shared" si="18"/>
        <v>2753.32</v>
      </c>
      <c r="H434" s="3">
        <f t="shared" si="19"/>
        <v>137.66600000000003</v>
      </c>
      <c r="I434" s="7">
        <v>7.18</v>
      </c>
      <c r="J434" s="5">
        <f t="shared" si="20"/>
        <v>2608.4740000000002</v>
      </c>
    </row>
    <row r="435" spans="1:10" x14ac:dyDescent="0.35">
      <c r="A435" s="3" t="s">
        <v>534</v>
      </c>
      <c r="B435" s="6">
        <v>43049</v>
      </c>
      <c r="C435" s="10" t="s">
        <v>587</v>
      </c>
      <c r="D435" s="3" t="s">
        <v>9</v>
      </c>
      <c r="E435" s="4">
        <v>3.38</v>
      </c>
      <c r="F435" s="3">
        <v>27</v>
      </c>
      <c r="G435" s="3">
        <f t="shared" si="18"/>
        <v>91.259999999999991</v>
      </c>
      <c r="H435" s="3">
        <f t="shared" si="19"/>
        <v>4.5629999999999997</v>
      </c>
      <c r="I435" s="7">
        <v>0.85</v>
      </c>
      <c r="J435" s="5">
        <f t="shared" si="20"/>
        <v>85.846999999999994</v>
      </c>
    </row>
    <row r="436" spans="1:10" x14ac:dyDescent="0.35">
      <c r="A436" s="3" t="s">
        <v>535</v>
      </c>
      <c r="B436" s="6">
        <v>43047</v>
      </c>
      <c r="C436" s="10" t="s">
        <v>587</v>
      </c>
      <c r="D436" s="3" t="s">
        <v>27</v>
      </c>
      <c r="E436" s="4">
        <v>5.18</v>
      </c>
      <c r="F436" s="3">
        <v>37</v>
      </c>
      <c r="G436" s="3">
        <f t="shared" si="18"/>
        <v>191.66</v>
      </c>
      <c r="H436" s="3">
        <f t="shared" si="19"/>
        <v>9.5830000000000002</v>
      </c>
      <c r="I436" s="7">
        <v>2.04</v>
      </c>
      <c r="J436" s="5">
        <f t="shared" si="20"/>
        <v>180.03700000000001</v>
      </c>
    </row>
    <row r="437" spans="1:10" x14ac:dyDescent="0.35">
      <c r="A437" s="3" t="s">
        <v>536</v>
      </c>
      <c r="B437" s="6">
        <v>43046</v>
      </c>
      <c r="C437" s="10" t="s">
        <v>587</v>
      </c>
      <c r="D437" s="3" t="s">
        <v>9</v>
      </c>
      <c r="E437" s="4">
        <v>6.3</v>
      </c>
      <c r="F437" s="3">
        <v>39</v>
      </c>
      <c r="G437" s="3">
        <f t="shared" si="18"/>
        <v>245.7</v>
      </c>
      <c r="H437" s="3">
        <f t="shared" si="19"/>
        <v>12.285</v>
      </c>
      <c r="I437" s="7">
        <v>0.5</v>
      </c>
      <c r="J437" s="5">
        <f t="shared" si="20"/>
        <v>232.91499999999999</v>
      </c>
    </row>
    <row r="438" spans="1:10" x14ac:dyDescent="0.35">
      <c r="A438" s="3" t="s">
        <v>537</v>
      </c>
      <c r="B438" s="6">
        <v>43036</v>
      </c>
      <c r="C438" s="10" t="s">
        <v>587</v>
      </c>
      <c r="D438" s="3" t="s">
        <v>9</v>
      </c>
      <c r="E438" s="4">
        <v>12.98</v>
      </c>
      <c r="F438" s="3">
        <v>45</v>
      </c>
      <c r="G438" s="3">
        <f t="shared" si="18"/>
        <v>584.1</v>
      </c>
      <c r="H438" s="3">
        <f t="shared" si="19"/>
        <v>29.205000000000002</v>
      </c>
      <c r="I438" s="7">
        <v>3.14</v>
      </c>
      <c r="J438" s="5">
        <f t="shared" si="20"/>
        <v>551.755</v>
      </c>
    </row>
    <row r="439" spans="1:10" x14ac:dyDescent="0.35">
      <c r="A439" s="3" t="s">
        <v>538</v>
      </c>
      <c r="B439" s="6">
        <v>43035</v>
      </c>
      <c r="C439" s="10" t="s">
        <v>587</v>
      </c>
      <c r="D439" s="3" t="s">
        <v>9</v>
      </c>
      <c r="E439" s="4">
        <v>165.2</v>
      </c>
      <c r="F439" s="3">
        <v>23</v>
      </c>
      <c r="G439" s="3">
        <f t="shared" si="18"/>
        <v>3799.6</v>
      </c>
      <c r="H439" s="3">
        <f t="shared" si="19"/>
        <v>189.98000000000002</v>
      </c>
      <c r="I439" s="7">
        <v>19.989999999999998</v>
      </c>
      <c r="J439" s="5">
        <f t="shared" si="20"/>
        <v>3589.63</v>
      </c>
    </row>
    <row r="440" spans="1:10" x14ac:dyDescent="0.35">
      <c r="A440" s="3" t="s">
        <v>539</v>
      </c>
      <c r="B440" s="6">
        <v>43034</v>
      </c>
      <c r="C440" s="10" t="s">
        <v>587</v>
      </c>
      <c r="D440" s="3" t="s">
        <v>27</v>
      </c>
      <c r="E440" s="4">
        <v>136.97999999999999</v>
      </c>
      <c r="F440" s="3">
        <v>41</v>
      </c>
      <c r="G440" s="3">
        <f t="shared" si="18"/>
        <v>5616.1799999999994</v>
      </c>
      <c r="H440" s="3">
        <f t="shared" si="19"/>
        <v>280.80899999999997</v>
      </c>
      <c r="I440" s="7">
        <v>24.49</v>
      </c>
      <c r="J440" s="5">
        <f t="shared" si="20"/>
        <v>5310.8809999999994</v>
      </c>
    </row>
    <row r="441" spans="1:10" x14ac:dyDescent="0.35">
      <c r="A441" s="3" t="s">
        <v>540</v>
      </c>
      <c r="B441" s="6">
        <v>43033</v>
      </c>
      <c r="C441" s="10" t="s">
        <v>587</v>
      </c>
      <c r="D441" s="3" t="s">
        <v>9</v>
      </c>
      <c r="E441" s="4">
        <v>6.68</v>
      </c>
      <c r="F441" s="3">
        <v>5</v>
      </c>
      <c r="G441" s="3">
        <f t="shared" si="18"/>
        <v>33.4</v>
      </c>
      <c r="H441" s="3">
        <f t="shared" si="19"/>
        <v>1.67</v>
      </c>
      <c r="I441" s="7">
        <v>1.5</v>
      </c>
      <c r="J441" s="5">
        <f t="shared" si="20"/>
        <v>30.229999999999997</v>
      </c>
    </row>
    <row r="442" spans="1:10" x14ac:dyDescent="0.35">
      <c r="A442" s="3" t="s">
        <v>12</v>
      </c>
      <c r="B442" s="6">
        <v>43936</v>
      </c>
      <c r="C442" s="10" t="s">
        <v>11</v>
      </c>
      <c r="D442" s="3" t="s">
        <v>9</v>
      </c>
      <c r="E442" s="4">
        <v>1.48</v>
      </c>
      <c r="F442" s="3">
        <v>10</v>
      </c>
      <c r="G442" s="3">
        <f t="shared" si="18"/>
        <v>14.8</v>
      </c>
      <c r="H442" s="3">
        <f t="shared" si="19"/>
        <v>0.7400000000000001</v>
      </c>
      <c r="I442" s="7">
        <v>0.7</v>
      </c>
      <c r="J442" s="5">
        <f t="shared" si="20"/>
        <v>13.360000000000001</v>
      </c>
    </row>
    <row r="443" spans="1:10" x14ac:dyDescent="0.35">
      <c r="A443" s="3" t="s">
        <v>21</v>
      </c>
      <c r="B443" s="6">
        <v>43928</v>
      </c>
      <c r="C443" s="10" t="s">
        <v>11</v>
      </c>
      <c r="D443" s="3" t="s">
        <v>9</v>
      </c>
      <c r="E443" s="4">
        <v>300.97000000000003</v>
      </c>
      <c r="F443" s="3">
        <v>29</v>
      </c>
      <c r="G443" s="3">
        <f t="shared" si="18"/>
        <v>8728.130000000001</v>
      </c>
      <c r="H443" s="3">
        <f t="shared" si="19"/>
        <v>436.40650000000005</v>
      </c>
      <c r="I443" s="7">
        <v>7.18</v>
      </c>
      <c r="J443" s="5">
        <f t="shared" si="20"/>
        <v>8284.5434999999998</v>
      </c>
    </row>
    <row r="444" spans="1:10" x14ac:dyDescent="0.35">
      <c r="A444" s="3" t="s">
        <v>73</v>
      </c>
      <c r="B444" s="6">
        <v>43877</v>
      </c>
      <c r="C444" s="10" t="s">
        <v>11</v>
      </c>
      <c r="D444" s="3" t="s">
        <v>9</v>
      </c>
      <c r="E444" s="4">
        <v>1.95</v>
      </c>
      <c r="F444" s="3">
        <v>20</v>
      </c>
      <c r="G444" s="3">
        <f t="shared" si="18"/>
        <v>39</v>
      </c>
      <c r="H444" s="3">
        <f t="shared" si="19"/>
        <v>1.9500000000000002</v>
      </c>
      <c r="I444" s="7">
        <v>1.63</v>
      </c>
      <c r="J444" s="5">
        <f t="shared" si="20"/>
        <v>35.419999999999995</v>
      </c>
    </row>
    <row r="445" spans="1:10" x14ac:dyDescent="0.35">
      <c r="A445" s="3" t="s">
        <v>74</v>
      </c>
      <c r="B445" s="6">
        <v>43876</v>
      </c>
      <c r="C445" s="10" t="s">
        <v>11</v>
      </c>
      <c r="D445" s="3" t="s">
        <v>9</v>
      </c>
      <c r="E445" s="4">
        <v>20.98</v>
      </c>
      <c r="F445" s="3">
        <v>42</v>
      </c>
      <c r="G445" s="3">
        <f t="shared" si="18"/>
        <v>881.16</v>
      </c>
      <c r="H445" s="3">
        <f t="shared" si="19"/>
        <v>44.058</v>
      </c>
      <c r="I445" s="7">
        <v>1.49</v>
      </c>
      <c r="J445" s="5">
        <f t="shared" si="20"/>
        <v>835.61199999999997</v>
      </c>
    </row>
    <row r="446" spans="1:10" x14ac:dyDescent="0.35">
      <c r="A446" s="3" t="s">
        <v>84</v>
      </c>
      <c r="B446" s="6">
        <v>43866</v>
      </c>
      <c r="C446" s="10" t="s">
        <v>11</v>
      </c>
      <c r="D446" s="3" t="s">
        <v>9</v>
      </c>
      <c r="E446" s="4">
        <v>2.1</v>
      </c>
      <c r="F446" s="3">
        <v>27</v>
      </c>
      <c r="G446" s="3">
        <f t="shared" si="18"/>
        <v>56.7</v>
      </c>
      <c r="H446" s="3">
        <f t="shared" si="19"/>
        <v>2.8350000000000004</v>
      </c>
      <c r="I446" s="7">
        <v>0.7</v>
      </c>
      <c r="J446" s="5">
        <f t="shared" si="20"/>
        <v>53.164999999999999</v>
      </c>
    </row>
    <row r="447" spans="1:10" x14ac:dyDescent="0.35">
      <c r="A447" s="3" t="s">
        <v>92</v>
      </c>
      <c r="B447" s="6">
        <v>43858</v>
      </c>
      <c r="C447" s="10" t="s">
        <v>11</v>
      </c>
      <c r="D447" s="3" t="s">
        <v>9</v>
      </c>
      <c r="E447" s="4">
        <v>5.98</v>
      </c>
      <c r="F447" s="3">
        <v>23</v>
      </c>
      <c r="G447" s="3">
        <f t="shared" si="18"/>
        <v>137.54000000000002</v>
      </c>
      <c r="H447" s="3">
        <f t="shared" si="19"/>
        <v>6.8770000000000016</v>
      </c>
      <c r="I447" s="7">
        <v>1.49</v>
      </c>
      <c r="J447" s="5">
        <f t="shared" si="20"/>
        <v>129.173</v>
      </c>
    </row>
    <row r="448" spans="1:10" x14ac:dyDescent="0.35">
      <c r="A448" s="3" t="s">
        <v>95</v>
      </c>
      <c r="B448" s="6">
        <v>43855</v>
      </c>
      <c r="C448" s="10" t="s">
        <v>11</v>
      </c>
      <c r="D448" s="3" t="s">
        <v>27</v>
      </c>
      <c r="E448" s="4">
        <v>10.89</v>
      </c>
      <c r="F448" s="3">
        <v>30</v>
      </c>
      <c r="G448" s="3">
        <f t="shared" si="18"/>
        <v>326.70000000000005</v>
      </c>
      <c r="H448" s="3">
        <f t="shared" si="19"/>
        <v>16.335000000000004</v>
      </c>
      <c r="I448" s="7">
        <v>4.5</v>
      </c>
      <c r="J448" s="5">
        <f t="shared" si="20"/>
        <v>305.86500000000007</v>
      </c>
    </row>
    <row r="449" spans="1:10" x14ac:dyDescent="0.35">
      <c r="A449" s="3" t="s">
        <v>96</v>
      </c>
      <c r="B449" s="6">
        <v>43854</v>
      </c>
      <c r="C449" s="10" t="s">
        <v>11</v>
      </c>
      <c r="D449" s="3" t="s">
        <v>9</v>
      </c>
      <c r="E449" s="4">
        <v>3.15</v>
      </c>
      <c r="F449" s="3">
        <v>24</v>
      </c>
      <c r="G449" s="3">
        <f t="shared" si="18"/>
        <v>75.599999999999994</v>
      </c>
      <c r="H449" s="3">
        <f t="shared" si="19"/>
        <v>3.78</v>
      </c>
      <c r="I449" s="7">
        <v>0.49</v>
      </c>
      <c r="J449" s="5">
        <f t="shared" si="20"/>
        <v>71.33</v>
      </c>
    </row>
    <row r="450" spans="1:10" x14ac:dyDescent="0.35">
      <c r="A450" s="3" t="s">
        <v>97</v>
      </c>
      <c r="B450" s="6">
        <v>43853</v>
      </c>
      <c r="C450" s="10" t="s">
        <v>11</v>
      </c>
      <c r="D450" s="3" t="s">
        <v>9</v>
      </c>
      <c r="E450" s="4">
        <v>100.97</v>
      </c>
      <c r="F450" s="3">
        <v>29</v>
      </c>
      <c r="G450" s="3">
        <f t="shared" si="18"/>
        <v>2928.13</v>
      </c>
      <c r="H450" s="3">
        <f t="shared" si="19"/>
        <v>146.40650000000002</v>
      </c>
      <c r="I450" s="7">
        <v>7.18</v>
      </c>
      <c r="J450" s="5">
        <f t="shared" si="20"/>
        <v>2774.5435000000002</v>
      </c>
    </row>
    <row r="451" spans="1:10" x14ac:dyDescent="0.35">
      <c r="A451" s="3" t="s">
        <v>98</v>
      </c>
      <c r="B451" s="6">
        <v>43852</v>
      </c>
      <c r="C451" s="10" t="s">
        <v>11</v>
      </c>
      <c r="D451" s="3" t="s">
        <v>9</v>
      </c>
      <c r="E451" s="4">
        <v>3.98</v>
      </c>
      <c r="F451" s="3">
        <v>4</v>
      </c>
      <c r="G451" s="3">
        <f t="shared" ref="G451:G514" si="21">E451*F451</f>
        <v>15.92</v>
      </c>
      <c r="H451" s="3">
        <f t="shared" ref="H451:H514" si="22">G451*5%</f>
        <v>0.79600000000000004</v>
      </c>
      <c r="I451" s="7">
        <v>2.97</v>
      </c>
      <c r="J451" s="5">
        <f t="shared" ref="J451:J514" si="23">G451-H451-I451</f>
        <v>12.154</v>
      </c>
    </row>
    <row r="452" spans="1:10" x14ac:dyDescent="0.35">
      <c r="A452" s="3" t="s">
        <v>102</v>
      </c>
      <c r="B452" s="6">
        <v>43848</v>
      </c>
      <c r="C452" s="10" t="s">
        <v>11</v>
      </c>
      <c r="D452" s="3" t="s">
        <v>9</v>
      </c>
      <c r="E452" s="4">
        <v>136.97999999999999</v>
      </c>
      <c r="F452" s="3">
        <v>3</v>
      </c>
      <c r="G452" s="3">
        <f t="shared" si="21"/>
        <v>410.93999999999994</v>
      </c>
      <c r="H452" s="3">
        <f t="shared" si="22"/>
        <v>20.546999999999997</v>
      </c>
      <c r="I452" s="7">
        <v>24.49</v>
      </c>
      <c r="J452" s="5">
        <f t="shared" si="23"/>
        <v>365.90299999999991</v>
      </c>
    </row>
    <row r="453" spans="1:10" x14ac:dyDescent="0.35">
      <c r="A453" s="3" t="s">
        <v>109</v>
      </c>
      <c r="B453" s="6">
        <v>43841</v>
      </c>
      <c r="C453" s="10" t="s">
        <v>11</v>
      </c>
      <c r="D453" s="3" t="s">
        <v>9</v>
      </c>
      <c r="E453" s="4">
        <v>136.97999999999999</v>
      </c>
      <c r="F453" s="3">
        <v>27</v>
      </c>
      <c r="G453" s="3">
        <f t="shared" si="21"/>
        <v>3698.4599999999996</v>
      </c>
      <c r="H453" s="3">
        <f t="shared" si="22"/>
        <v>184.923</v>
      </c>
      <c r="I453" s="7">
        <v>24.49</v>
      </c>
      <c r="J453" s="5">
        <f t="shared" si="23"/>
        <v>3489.0469999999996</v>
      </c>
    </row>
    <row r="454" spans="1:10" x14ac:dyDescent="0.35">
      <c r="A454" s="3" t="s">
        <v>112</v>
      </c>
      <c r="B454" s="6">
        <v>43838</v>
      </c>
      <c r="C454" s="10" t="s">
        <v>11</v>
      </c>
      <c r="D454" s="3" t="s">
        <v>9</v>
      </c>
      <c r="E454" s="4">
        <v>90.48</v>
      </c>
      <c r="F454" s="3">
        <v>25</v>
      </c>
      <c r="G454" s="3">
        <f t="shared" si="21"/>
        <v>2262</v>
      </c>
      <c r="H454" s="3">
        <f t="shared" si="22"/>
        <v>113.10000000000001</v>
      </c>
      <c r="I454" s="7">
        <v>19.989999999999998</v>
      </c>
      <c r="J454" s="5">
        <f t="shared" si="23"/>
        <v>2128.9100000000003</v>
      </c>
    </row>
    <row r="455" spans="1:10" x14ac:dyDescent="0.35">
      <c r="A455" s="3" t="s">
        <v>134</v>
      </c>
      <c r="B455" s="6">
        <v>43816</v>
      </c>
      <c r="C455" s="10" t="s">
        <v>11</v>
      </c>
      <c r="D455" s="3" t="s">
        <v>9</v>
      </c>
      <c r="E455" s="4">
        <v>2.94</v>
      </c>
      <c r="F455" s="3">
        <v>26</v>
      </c>
      <c r="G455" s="3">
        <f t="shared" si="21"/>
        <v>76.44</v>
      </c>
      <c r="H455" s="3">
        <f t="shared" si="22"/>
        <v>3.8220000000000001</v>
      </c>
      <c r="I455" s="7">
        <v>0.81</v>
      </c>
      <c r="J455" s="5">
        <f t="shared" si="23"/>
        <v>71.807999999999993</v>
      </c>
    </row>
    <row r="456" spans="1:10" x14ac:dyDescent="0.35">
      <c r="A456" s="3" t="s">
        <v>144</v>
      </c>
      <c r="B456" s="6">
        <v>43806</v>
      </c>
      <c r="C456" s="10" t="s">
        <v>11</v>
      </c>
      <c r="D456" s="3" t="s">
        <v>9</v>
      </c>
      <c r="E456" s="4">
        <v>2.61</v>
      </c>
      <c r="F456" s="3">
        <v>34</v>
      </c>
      <c r="G456" s="3">
        <f t="shared" si="21"/>
        <v>88.74</v>
      </c>
      <c r="H456" s="3">
        <f t="shared" si="22"/>
        <v>4.4370000000000003</v>
      </c>
      <c r="I456" s="7">
        <v>0.5</v>
      </c>
      <c r="J456" s="5">
        <f t="shared" si="23"/>
        <v>83.802999999999997</v>
      </c>
    </row>
    <row r="457" spans="1:10" x14ac:dyDescent="0.35">
      <c r="A457" s="3" t="s">
        <v>146</v>
      </c>
      <c r="B457" s="6">
        <v>43804</v>
      </c>
      <c r="C457" s="10" t="s">
        <v>11</v>
      </c>
      <c r="D457" s="3" t="s">
        <v>9</v>
      </c>
      <c r="E457" s="4">
        <v>27.18</v>
      </c>
      <c r="F457" s="3">
        <v>50</v>
      </c>
      <c r="G457" s="3">
        <f t="shared" si="21"/>
        <v>1359</v>
      </c>
      <c r="H457" s="3">
        <f t="shared" si="22"/>
        <v>67.95</v>
      </c>
      <c r="I457" s="7">
        <v>8.23</v>
      </c>
      <c r="J457" s="5">
        <f t="shared" si="23"/>
        <v>1282.82</v>
      </c>
    </row>
    <row r="458" spans="1:10" x14ac:dyDescent="0.35">
      <c r="A458" s="3" t="s">
        <v>148</v>
      </c>
      <c r="B458" s="6">
        <v>43802</v>
      </c>
      <c r="C458" s="10" t="s">
        <v>11</v>
      </c>
      <c r="D458" s="3" t="s">
        <v>9</v>
      </c>
      <c r="E458" s="4">
        <v>3.78</v>
      </c>
      <c r="F458" s="3">
        <v>28</v>
      </c>
      <c r="G458" s="3">
        <f t="shared" si="21"/>
        <v>105.83999999999999</v>
      </c>
      <c r="H458" s="3">
        <f t="shared" si="22"/>
        <v>5.2919999999999998</v>
      </c>
      <c r="I458" s="7">
        <v>0.71</v>
      </c>
      <c r="J458" s="5">
        <f t="shared" si="23"/>
        <v>99.837999999999994</v>
      </c>
    </row>
    <row r="459" spans="1:10" x14ac:dyDescent="0.35">
      <c r="A459" s="3" t="s">
        <v>150</v>
      </c>
      <c r="B459" s="6">
        <v>43800</v>
      </c>
      <c r="C459" s="10" t="s">
        <v>11</v>
      </c>
      <c r="D459" s="3" t="s">
        <v>9</v>
      </c>
      <c r="E459" s="4">
        <v>3.69</v>
      </c>
      <c r="F459" s="3">
        <v>16</v>
      </c>
      <c r="G459" s="3">
        <f t="shared" si="21"/>
        <v>59.04</v>
      </c>
      <c r="H459" s="3">
        <f t="shared" si="22"/>
        <v>2.952</v>
      </c>
      <c r="I459" s="7">
        <v>2.5</v>
      </c>
      <c r="J459" s="5">
        <f t="shared" si="23"/>
        <v>53.588000000000001</v>
      </c>
    </row>
    <row r="460" spans="1:10" x14ac:dyDescent="0.35">
      <c r="A460" s="3" t="s">
        <v>151</v>
      </c>
      <c r="B460" s="6">
        <v>43799</v>
      </c>
      <c r="C460" s="10" t="s">
        <v>11</v>
      </c>
      <c r="D460" s="3" t="s">
        <v>9</v>
      </c>
      <c r="E460" s="4">
        <v>4.76</v>
      </c>
      <c r="F460" s="3">
        <v>1</v>
      </c>
      <c r="G460" s="3">
        <f t="shared" si="21"/>
        <v>4.76</v>
      </c>
      <c r="H460" s="3">
        <f t="shared" si="22"/>
        <v>0.23799999999999999</v>
      </c>
      <c r="I460" s="7">
        <v>0.88</v>
      </c>
      <c r="J460" s="5">
        <f t="shared" si="23"/>
        <v>3.6420000000000003</v>
      </c>
    </row>
    <row r="461" spans="1:10" x14ac:dyDescent="0.35">
      <c r="A461" s="3" t="s">
        <v>160</v>
      </c>
      <c r="B461" s="6">
        <v>43790</v>
      </c>
      <c r="C461" s="10" t="s">
        <v>11</v>
      </c>
      <c r="D461" s="3" t="s">
        <v>9</v>
      </c>
      <c r="E461" s="4">
        <v>415.88</v>
      </c>
      <c r="F461" s="3">
        <v>4</v>
      </c>
      <c r="G461" s="3">
        <f t="shared" si="21"/>
        <v>1663.52</v>
      </c>
      <c r="H461" s="3">
        <f t="shared" si="22"/>
        <v>83.176000000000002</v>
      </c>
      <c r="I461" s="7">
        <v>11.37</v>
      </c>
      <c r="J461" s="5">
        <f t="shared" si="23"/>
        <v>1568.9740000000002</v>
      </c>
    </row>
    <row r="462" spans="1:10" x14ac:dyDescent="0.35">
      <c r="A462" s="3" t="s">
        <v>164</v>
      </c>
      <c r="B462" s="6">
        <v>43786</v>
      </c>
      <c r="C462" s="10" t="s">
        <v>11</v>
      </c>
      <c r="D462" s="3" t="s">
        <v>9</v>
      </c>
      <c r="E462" s="4">
        <v>152.47999999999999</v>
      </c>
      <c r="F462" s="3">
        <v>2</v>
      </c>
      <c r="G462" s="3">
        <f t="shared" si="21"/>
        <v>304.95999999999998</v>
      </c>
      <c r="H462" s="3">
        <f t="shared" si="22"/>
        <v>15.247999999999999</v>
      </c>
      <c r="I462" s="7">
        <v>4</v>
      </c>
      <c r="J462" s="5">
        <f t="shared" si="23"/>
        <v>285.71199999999999</v>
      </c>
    </row>
    <row r="463" spans="1:10" x14ac:dyDescent="0.35">
      <c r="A463" s="3" t="s">
        <v>165</v>
      </c>
      <c r="B463" s="6">
        <v>43785</v>
      </c>
      <c r="C463" s="10" t="s">
        <v>11</v>
      </c>
      <c r="D463" s="3" t="s">
        <v>9</v>
      </c>
      <c r="E463" s="4">
        <v>5.98</v>
      </c>
      <c r="F463" s="3">
        <v>22</v>
      </c>
      <c r="G463" s="3">
        <f t="shared" si="21"/>
        <v>131.56</v>
      </c>
      <c r="H463" s="3">
        <f t="shared" si="22"/>
        <v>6.5780000000000003</v>
      </c>
      <c r="I463" s="7">
        <v>1.49</v>
      </c>
      <c r="J463" s="5">
        <f t="shared" si="23"/>
        <v>123.492</v>
      </c>
    </row>
    <row r="464" spans="1:10" x14ac:dyDescent="0.35">
      <c r="A464" s="3" t="s">
        <v>167</v>
      </c>
      <c r="B464" s="6">
        <v>43783</v>
      </c>
      <c r="C464" s="10" t="s">
        <v>11</v>
      </c>
      <c r="D464" s="3" t="s">
        <v>9</v>
      </c>
      <c r="E464" s="4">
        <v>1.68</v>
      </c>
      <c r="F464" s="3">
        <v>50</v>
      </c>
      <c r="G464" s="3">
        <f t="shared" si="21"/>
        <v>84</v>
      </c>
      <c r="H464" s="3">
        <f t="shared" si="22"/>
        <v>4.2</v>
      </c>
      <c r="I464" s="7">
        <v>1</v>
      </c>
      <c r="J464" s="5">
        <f t="shared" si="23"/>
        <v>78.8</v>
      </c>
    </row>
    <row r="465" spans="1:10" x14ac:dyDescent="0.35">
      <c r="A465" s="3" t="s">
        <v>186</v>
      </c>
      <c r="B465" s="6">
        <v>43764</v>
      </c>
      <c r="C465" s="10" t="s">
        <v>11</v>
      </c>
      <c r="D465" s="3" t="s">
        <v>9</v>
      </c>
      <c r="E465" s="4">
        <v>1.1399999999999999</v>
      </c>
      <c r="F465" s="3">
        <v>31</v>
      </c>
      <c r="G465" s="3">
        <f t="shared" si="21"/>
        <v>35.339999999999996</v>
      </c>
      <c r="H465" s="3">
        <f t="shared" si="22"/>
        <v>1.7669999999999999</v>
      </c>
      <c r="I465" s="7">
        <v>0.7</v>
      </c>
      <c r="J465" s="5">
        <f t="shared" si="23"/>
        <v>32.87299999999999</v>
      </c>
    </row>
    <row r="466" spans="1:10" x14ac:dyDescent="0.35">
      <c r="A466" s="3" t="s">
        <v>206</v>
      </c>
      <c r="B466" s="6">
        <v>43744</v>
      </c>
      <c r="C466" s="10" t="s">
        <v>11</v>
      </c>
      <c r="D466" s="3" t="s">
        <v>9</v>
      </c>
      <c r="E466" s="4">
        <v>34.76</v>
      </c>
      <c r="F466" s="3">
        <v>8</v>
      </c>
      <c r="G466" s="3">
        <f t="shared" si="21"/>
        <v>278.08</v>
      </c>
      <c r="H466" s="3">
        <f t="shared" si="22"/>
        <v>13.904</v>
      </c>
      <c r="I466" s="7">
        <v>8.2200000000000006</v>
      </c>
      <c r="J466" s="5">
        <f t="shared" si="23"/>
        <v>255.95599999999999</v>
      </c>
    </row>
    <row r="467" spans="1:10" x14ac:dyDescent="0.35">
      <c r="A467" s="3" t="s">
        <v>215</v>
      </c>
      <c r="B467" s="6">
        <v>43735</v>
      </c>
      <c r="C467" s="10" t="s">
        <v>11</v>
      </c>
      <c r="D467" s="3" t="s">
        <v>9</v>
      </c>
      <c r="E467" s="4">
        <v>12.22</v>
      </c>
      <c r="F467" s="3">
        <v>46</v>
      </c>
      <c r="G467" s="3">
        <f t="shared" si="21"/>
        <v>562.12</v>
      </c>
      <c r="H467" s="3">
        <f t="shared" si="22"/>
        <v>28.106000000000002</v>
      </c>
      <c r="I467" s="7">
        <v>2.85</v>
      </c>
      <c r="J467" s="5">
        <f t="shared" si="23"/>
        <v>531.16399999999999</v>
      </c>
    </row>
    <row r="468" spans="1:10" x14ac:dyDescent="0.35">
      <c r="A468" s="3" t="s">
        <v>217</v>
      </c>
      <c r="B468" s="6">
        <v>43733</v>
      </c>
      <c r="C468" s="10" t="s">
        <v>11</v>
      </c>
      <c r="D468" s="3" t="s">
        <v>9</v>
      </c>
      <c r="E468" s="4">
        <v>5.68</v>
      </c>
      <c r="F468" s="3">
        <v>25</v>
      </c>
      <c r="G468" s="3">
        <f t="shared" si="21"/>
        <v>142</v>
      </c>
      <c r="H468" s="3">
        <f t="shared" si="22"/>
        <v>7.1000000000000005</v>
      </c>
      <c r="I468" s="7">
        <v>3.6</v>
      </c>
      <c r="J468" s="5">
        <f t="shared" si="23"/>
        <v>131.30000000000001</v>
      </c>
    </row>
    <row r="469" spans="1:10" x14ac:dyDescent="0.35">
      <c r="A469" s="3" t="s">
        <v>226</v>
      </c>
      <c r="B469" s="6">
        <v>43724</v>
      </c>
      <c r="C469" s="10" t="s">
        <v>11</v>
      </c>
      <c r="D469" s="3" t="s">
        <v>9</v>
      </c>
      <c r="E469" s="4">
        <v>2.98</v>
      </c>
      <c r="F469" s="3">
        <v>32</v>
      </c>
      <c r="G469" s="3">
        <f t="shared" si="21"/>
        <v>95.36</v>
      </c>
      <c r="H469" s="3">
        <f t="shared" si="22"/>
        <v>4.7679999999999998</v>
      </c>
      <c r="I469" s="7">
        <v>1.58</v>
      </c>
      <c r="J469" s="5">
        <f t="shared" si="23"/>
        <v>89.012</v>
      </c>
    </row>
    <row r="470" spans="1:10" x14ac:dyDescent="0.35">
      <c r="A470" s="3" t="s">
        <v>230</v>
      </c>
      <c r="B470" s="6">
        <v>43720</v>
      </c>
      <c r="C470" s="10" t="s">
        <v>11</v>
      </c>
      <c r="D470" s="3" t="s">
        <v>19</v>
      </c>
      <c r="E470" s="4">
        <v>449.99</v>
      </c>
      <c r="F470" s="3">
        <v>43</v>
      </c>
      <c r="G470" s="3">
        <f t="shared" si="21"/>
        <v>19349.57</v>
      </c>
      <c r="H470" s="3">
        <f t="shared" si="22"/>
        <v>967.47850000000005</v>
      </c>
      <c r="I470" s="7">
        <v>49</v>
      </c>
      <c r="J470" s="5">
        <f t="shared" si="23"/>
        <v>18333.091499999999</v>
      </c>
    </row>
    <row r="471" spans="1:10" x14ac:dyDescent="0.35">
      <c r="A471" s="3" t="s">
        <v>232</v>
      </c>
      <c r="B471" s="6">
        <v>43718</v>
      </c>
      <c r="C471" s="10" t="s">
        <v>11</v>
      </c>
      <c r="D471" s="3" t="s">
        <v>9</v>
      </c>
      <c r="E471" s="4">
        <v>1.81</v>
      </c>
      <c r="F471" s="3">
        <v>22</v>
      </c>
      <c r="G471" s="3">
        <f t="shared" si="21"/>
        <v>39.82</v>
      </c>
      <c r="H471" s="3">
        <f t="shared" si="22"/>
        <v>1.9910000000000001</v>
      </c>
      <c r="I471" s="7">
        <v>1.56</v>
      </c>
      <c r="J471" s="5">
        <f t="shared" si="23"/>
        <v>36.268999999999998</v>
      </c>
    </row>
    <row r="472" spans="1:10" x14ac:dyDescent="0.35">
      <c r="A472" s="3" t="s">
        <v>240</v>
      </c>
      <c r="B472" s="6">
        <v>43710</v>
      </c>
      <c r="C472" s="10" t="s">
        <v>11</v>
      </c>
      <c r="D472" s="3" t="s">
        <v>9</v>
      </c>
      <c r="E472" s="4">
        <v>3.08</v>
      </c>
      <c r="F472" s="3">
        <v>42</v>
      </c>
      <c r="G472" s="3">
        <f t="shared" si="21"/>
        <v>129.36000000000001</v>
      </c>
      <c r="H472" s="3">
        <f t="shared" si="22"/>
        <v>6.4680000000000009</v>
      </c>
      <c r="I472" s="7">
        <v>0.99</v>
      </c>
      <c r="J472" s="5">
        <f t="shared" si="23"/>
        <v>121.90200000000002</v>
      </c>
    </row>
    <row r="473" spans="1:10" x14ac:dyDescent="0.35">
      <c r="A473" s="3" t="s">
        <v>241</v>
      </c>
      <c r="B473" s="6">
        <v>43709</v>
      </c>
      <c r="C473" s="10" t="s">
        <v>11</v>
      </c>
      <c r="D473" s="3" t="s">
        <v>9</v>
      </c>
      <c r="E473" s="4">
        <v>449.99</v>
      </c>
      <c r="F473" s="3">
        <v>49</v>
      </c>
      <c r="G473" s="3">
        <f t="shared" si="21"/>
        <v>22049.510000000002</v>
      </c>
      <c r="H473" s="3">
        <f t="shared" si="22"/>
        <v>1102.4755000000002</v>
      </c>
      <c r="I473" s="7">
        <v>24.49</v>
      </c>
      <c r="J473" s="5">
        <f t="shared" si="23"/>
        <v>20922.5445</v>
      </c>
    </row>
    <row r="474" spans="1:10" x14ac:dyDescent="0.35">
      <c r="A474" s="3" t="s">
        <v>245</v>
      </c>
      <c r="B474" s="6">
        <v>43705</v>
      </c>
      <c r="C474" s="10" t="s">
        <v>11</v>
      </c>
      <c r="D474" s="3" t="s">
        <v>9</v>
      </c>
      <c r="E474" s="4">
        <v>3.78</v>
      </c>
      <c r="F474" s="3">
        <v>28</v>
      </c>
      <c r="G474" s="3">
        <f t="shared" si="21"/>
        <v>105.83999999999999</v>
      </c>
      <c r="H474" s="3">
        <f t="shared" si="22"/>
        <v>5.2919999999999998</v>
      </c>
      <c r="I474" s="7">
        <v>0.71</v>
      </c>
      <c r="J474" s="5">
        <f t="shared" si="23"/>
        <v>99.837999999999994</v>
      </c>
    </row>
    <row r="475" spans="1:10" x14ac:dyDescent="0.35">
      <c r="A475" s="3" t="s">
        <v>246</v>
      </c>
      <c r="B475" s="6">
        <v>43704</v>
      </c>
      <c r="C475" s="10" t="s">
        <v>11</v>
      </c>
      <c r="D475" s="3" t="s">
        <v>9</v>
      </c>
      <c r="E475" s="4">
        <v>20.99</v>
      </c>
      <c r="F475" s="3">
        <v>2</v>
      </c>
      <c r="G475" s="3">
        <f t="shared" si="21"/>
        <v>41.98</v>
      </c>
      <c r="H475" s="3">
        <f t="shared" si="22"/>
        <v>2.0989999999999998</v>
      </c>
      <c r="I475" s="7">
        <v>4.8099999999999996</v>
      </c>
      <c r="J475" s="5">
        <f t="shared" si="23"/>
        <v>35.070999999999998</v>
      </c>
    </row>
    <row r="476" spans="1:10" x14ac:dyDescent="0.35">
      <c r="A476" s="3" t="s">
        <v>304</v>
      </c>
      <c r="B476" s="6">
        <v>43645</v>
      </c>
      <c r="C476" s="10" t="s">
        <v>11</v>
      </c>
      <c r="D476" s="3" t="s">
        <v>19</v>
      </c>
      <c r="E476" s="4">
        <v>5.18</v>
      </c>
      <c r="F476" s="3">
        <v>25</v>
      </c>
      <c r="G476" s="3">
        <f t="shared" si="21"/>
        <v>129.5</v>
      </c>
      <c r="H476" s="3">
        <f t="shared" si="22"/>
        <v>6.4750000000000005</v>
      </c>
      <c r="I476" s="7">
        <v>2.04</v>
      </c>
      <c r="J476" s="5">
        <f t="shared" si="23"/>
        <v>120.985</v>
      </c>
    </row>
    <row r="477" spans="1:10" x14ac:dyDescent="0.35">
      <c r="A477" s="3" t="s">
        <v>316</v>
      </c>
      <c r="B477" s="6">
        <v>43633</v>
      </c>
      <c r="C477" s="10" t="s">
        <v>11</v>
      </c>
      <c r="D477" s="3" t="s">
        <v>19</v>
      </c>
      <c r="E477" s="4">
        <v>58.1</v>
      </c>
      <c r="F477" s="3">
        <v>27</v>
      </c>
      <c r="G477" s="3">
        <f t="shared" si="21"/>
        <v>1568.7</v>
      </c>
      <c r="H477" s="3">
        <f t="shared" si="22"/>
        <v>78.435000000000002</v>
      </c>
      <c r="I477" s="7">
        <v>1.49</v>
      </c>
      <c r="J477" s="5">
        <f t="shared" si="23"/>
        <v>1488.7750000000001</v>
      </c>
    </row>
    <row r="478" spans="1:10" x14ac:dyDescent="0.35">
      <c r="A478" s="3" t="s">
        <v>320</v>
      </c>
      <c r="B478" s="6">
        <v>43629</v>
      </c>
      <c r="C478" s="10" t="s">
        <v>11</v>
      </c>
      <c r="D478" s="3" t="s">
        <v>19</v>
      </c>
      <c r="E478" s="4">
        <v>152.47999999999999</v>
      </c>
      <c r="F478" s="3">
        <v>17</v>
      </c>
      <c r="G478" s="3">
        <f t="shared" si="21"/>
        <v>2592.16</v>
      </c>
      <c r="H478" s="3">
        <f t="shared" si="22"/>
        <v>129.608</v>
      </c>
      <c r="I478" s="7">
        <v>6.5</v>
      </c>
      <c r="J478" s="5">
        <f t="shared" si="23"/>
        <v>2456.0519999999997</v>
      </c>
    </row>
    <row r="479" spans="1:10" x14ac:dyDescent="0.35">
      <c r="A479" s="3" t="s">
        <v>381</v>
      </c>
      <c r="B479" s="6">
        <v>43475</v>
      </c>
      <c r="C479" s="10" t="s">
        <v>11</v>
      </c>
      <c r="D479" s="3" t="s">
        <v>27</v>
      </c>
      <c r="E479" s="4">
        <v>3.14</v>
      </c>
      <c r="F479" s="3">
        <v>50</v>
      </c>
      <c r="G479" s="3">
        <f t="shared" si="21"/>
        <v>157</v>
      </c>
      <c r="H479" s="3">
        <f t="shared" si="22"/>
        <v>7.8500000000000005</v>
      </c>
      <c r="I479" s="7">
        <v>1.1399999999999999</v>
      </c>
      <c r="J479" s="5">
        <f t="shared" si="23"/>
        <v>148.01000000000002</v>
      </c>
    </row>
    <row r="480" spans="1:10" x14ac:dyDescent="0.35">
      <c r="A480" s="3" t="s">
        <v>384</v>
      </c>
      <c r="B480" s="6">
        <v>43472</v>
      </c>
      <c r="C480" s="10" t="s">
        <v>11</v>
      </c>
      <c r="D480" s="3" t="s">
        <v>27</v>
      </c>
      <c r="E480" s="4">
        <v>22.38</v>
      </c>
      <c r="F480" s="3">
        <v>45</v>
      </c>
      <c r="G480" s="3">
        <f t="shared" si="21"/>
        <v>1007.0999999999999</v>
      </c>
      <c r="H480" s="3">
        <f t="shared" si="22"/>
        <v>50.354999999999997</v>
      </c>
      <c r="I480" s="7">
        <v>15.1</v>
      </c>
      <c r="J480" s="5">
        <f t="shared" si="23"/>
        <v>941.64499999999987</v>
      </c>
    </row>
    <row r="481" spans="1:10" x14ac:dyDescent="0.35">
      <c r="A481" s="3" t="s">
        <v>386</v>
      </c>
      <c r="B481" s="6">
        <v>43470</v>
      </c>
      <c r="C481" s="10" t="s">
        <v>11</v>
      </c>
      <c r="D481" s="3" t="s">
        <v>27</v>
      </c>
      <c r="E481" s="4">
        <v>15.98</v>
      </c>
      <c r="F481" s="3">
        <v>26</v>
      </c>
      <c r="G481" s="3">
        <f t="shared" si="21"/>
        <v>415.48</v>
      </c>
      <c r="H481" s="3">
        <f t="shared" si="22"/>
        <v>20.774000000000001</v>
      </c>
      <c r="I481" s="7">
        <v>4</v>
      </c>
      <c r="J481" s="5">
        <f t="shared" si="23"/>
        <v>390.70600000000002</v>
      </c>
    </row>
    <row r="482" spans="1:10" x14ac:dyDescent="0.35">
      <c r="A482" s="3" t="s">
        <v>388</v>
      </c>
      <c r="B482" s="6">
        <v>43467</v>
      </c>
      <c r="C482" s="10" t="s">
        <v>11</v>
      </c>
      <c r="D482" s="3" t="s">
        <v>27</v>
      </c>
      <c r="E482" s="4">
        <v>3.58</v>
      </c>
      <c r="F482" s="3">
        <v>7</v>
      </c>
      <c r="G482" s="3">
        <f t="shared" si="21"/>
        <v>25.060000000000002</v>
      </c>
      <c r="H482" s="3">
        <f t="shared" si="22"/>
        <v>1.2530000000000001</v>
      </c>
      <c r="I482" s="7">
        <v>5.47</v>
      </c>
      <c r="J482" s="5">
        <f t="shared" si="23"/>
        <v>18.337000000000003</v>
      </c>
    </row>
    <row r="483" spans="1:10" x14ac:dyDescent="0.35">
      <c r="A483" s="3" t="s">
        <v>390</v>
      </c>
      <c r="B483" s="6">
        <v>43464</v>
      </c>
      <c r="C483" s="10" t="s">
        <v>11</v>
      </c>
      <c r="D483" s="3" t="s">
        <v>27</v>
      </c>
      <c r="E483" s="4">
        <v>500.97</v>
      </c>
      <c r="F483" s="3">
        <v>44</v>
      </c>
      <c r="G483" s="3">
        <f t="shared" si="21"/>
        <v>22042.68</v>
      </c>
      <c r="H483" s="3">
        <f t="shared" si="22"/>
        <v>1102.134</v>
      </c>
      <c r="I483" s="7">
        <v>69.3</v>
      </c>
      <c r="J483" s="5">
        <f t="shared" si="23"/>
        <v>20871.246000000003</v>
      </c>
    </row>
    <row r="484" spans="1:10" x14ac:dyDescent="0.35">
      <c r="A484" s="3" t="s">
        <v>391</v>
      </c>
      <c r="B484" s="6">
        <v>43463</v>
      </c>
      <c r="C484" s="10" t="s">
        <v>11</v>
      </c>
      <c r="D484" s="3" t="s">
        <v>27</v>
      </c>
      <c r="E484" s="4">
        <v>22.38</v>
      </c>
      <c r="F484" s="3">
        <v>6</v>
      </c>
      <c r="G484" s="3">
        <f t="shared" si="21"/>
        <v>134.28</v>
      </c>
      <c r="H484" s="3">
        <f t="shared" si="22"/>
        <v>6.7140000000000004</v>
      </c>
      <c r="I484" s="7">
        <v>15.1</v>
      </c>
      <c r="J484" s="5">
        <f t="shared" si="23"/>
        <v>112.46600000000001</v>
      </c>
    </row>
    <row r="485" spans="1:10" x14ac:dyDescent="0.35">
      <c r="A485" s="3" t="s">
        <v>392</v>
      </c>
      <c r="B485" s="6">
        <v>43462</v>
      </c>
      <c r="C485" s="10" t="s">
        <v>11</v>
      </c>
      <c r="D485" s="3" t="s">
        <v>27</v>
      </c>
      <c r="E485" s="4">
        <v>1.26</v>
      </c>
      <c r="F485" s="3">
        <v>35</v>
      </c>
      <c r="G485" s="3">
        <f t="shared" si="21"/>
        <v>44.1</v>
      </c>
      <c r="H485" s="3">
        <f t="shared" si="22"/>
        <v>2.2050000000000001</v>
      </c>
      <c r="I485" s="7">
        <v>0.7</v>
      </c>
      <c r="J485" s="5">
        <f t="shared" si="23"/>
        <v>41.195</v>
      </c>
    </row>
    <row r="486" spans="1:10" x14ac:dyDescent="0.35">
      <c r="A486" s="3" t="s">
        <v>393</v>
      </c>
      <c r="B486" s="6">
        <v>43461</v>
      </c>
      <c r="C486" s="10" t="s">
        <v>11</v>
      </c>
      <c r="D486" s="3" t="s">
        <v>27</v>
      </c>
      <c r="E486" s="4">
        <v>4.26</v>
      </c>
      <c r="F486" s="3">
        <v>8</v>
      </c>
      <c r="G486" s="3">
        <f t="shared" si="21"/>
        <v>34.08</v>
      </c>
      <c r="H486" s="3">
        <f t="shared" si="22"/>
        <v>1.704</v>
      </c>
      <c r="I486" s="7">
        <v>1.2</v>
      </c>
      <c r="J486" s="5">
        <f t="shared" si="23"/>
        <v>31.175999999999998</v>
      </c>
    </row>
    <row r="487" spans="1:10" x14ac:dyDescent="0.35">
      <c r="A487" s="3" t="s">
        <v>394</v>
      </c>
      <c r="B487" s="6">
        <v>43460</v>
      </c>
      <c r="C487" s="10" t="s">
        <v>11</v>
      </c>
      <c r="D487" s="3" t="s">
        <v>27</v>
      </c>
      <c r="E487" s="4">
        <v>449.99</v>
      </c>
      <c r="F487" s="3">
        <v>2</v>
      </c>
      <c r="G487" s="3">
        <f t="shared" si="21"/>
        <v>899.98</v>
      </c>
      <c r="H487" s="3">
        <f t="shared" si="22"/>
        <v>44.999000000000002</v>
      </c>
      <c r="I487" s="7">
        <v>24.49</v>
      </c>
      <c r="J487" s="5">
        <f t="shared" si="23"/>
        <v>830.49099999999999</v>
      </c>
    </row>
    <row r="488" spans="1:10" x14ac:dyDescent="0.35">
      <c r="A488" s="3" t="s">
        <v>399</v>
      </c>
      <c r="B488" s="6">
        <v>43455</v>
      </c>
      <c r="C488" s="10" t="s">
        <v>11</v>
      </c>
      <c r="D488" s="3" t="s">
        <v>27</v>
      </c>
      <c r="E488" s="4">
        <v>5.53</v>
      </c>
      <c r="F488" s="3">
        <v>30</v>
      </c>
      <c r="G488" s="3">
        <f t="shared" si="21"/>
        <v>165.9</v>
      </c>
      <c r="H488" s="3">
        <f t="shared" si="22"/>
        <v>8.2949999999999999</v>
      </c>
      <c r="I488" s="7">
        <v>6.98</v>
      </c>
      <c r="J488" s="5">
        <f t="shared" si="23"/>
        <v>150.62500000000003</v>
      </c>
    </row>
    <row r="489" spans="1:10" x14ac:dyDescent="0.35">
      <c r="A489" s="3" t="s">
        <v>400</v>
      </c>
      <c r="B489" s="6">
        <v>43454</v>
      </c>
      <c r="C489" s="10" t="s">
        <v>11</v>
      </c>
      <c r="D489" s="3" t="s">
        <v>27</v>
      </c>
      <c r="E489" s="4">
        <v>5.53</v>
      </c>
      <c r="F489" s="3">
        <v>27</v>
      </c>
      <c r="G489" s="3">
        <f t="shared" si="21"/>
        <v>149.31</v>
      </c>
      <c r="H489" s="3">
        <f t="shared" si="22"/>
        <v>7.4655000000000005</v>
      </c>
      <c r="I489" s="7">
        <v>6.98</v>
      </c>
      <c r="J489" s="5">
        <f t="shared" si="23"/>
        <v>134.86450000000002</v>
      </c>
    </row>
    <row r="490" spans="1:10" x14ac:dyDescent="0.35">
      <c r="A490" s="3" t="s">
        <v>406</v>
      </c>
      <c r="B490" s="6">
        <v>43444</v>
      </c>
      <c r="C490" s="10" t="s">
        <v>11</v>
      </c>
      <c r="D490" s="3" t="s">
        <v>27</v>
      </c>
      <c r="E490" s="4">
        <v>3.98</v>
      </c>
      <c r="F490" s="3">
        <v>2</v>
      </c>
      <c r="G490" s="3">
        <f t="shared" si="21"/>
        <v>7.96</v>
      </c>
      <c r="H490" s="3">
        <f t="shared" si="22"/>
        <v>0.39800000000000002</v>
      </c>
      <c r="I490" s="7">
        <v>2.97</v>
      </c>
      <c r="J490" s="5">
        <f t="shared" si="23"/>
        <v>4.5920000000000005</v>
      </c>
    </row>
    <row r="491" spans="1:10" x14ac:dyDescent="0.35">
      <c r="A491" s="3" t="s">
        <v>407</v>
      </c>
      <c r="B491" s="6">
        <v>43443</v>
      </c>
      <c r="C491" s="10" t="s">
        <v>11</v>
      </c>
      <c r="D491" s="3" t="s">
        <v>27</v>
      </c>
      <c r="E491" s="4">
        <v>100.97</v>
      </c>
      <c r="F491" s="3">
        <v>13</v>
      </c>
      <c r="G491" s="3">
        <f t="shared" si="21"/>
        <v>1312.61</v>
      </c>
      <c r="H491" s="3">
        <f t="shared" si="22"/>
        <v>65.630499999999998</v>
      </c>
      <c r="I491" s="7">
        <v>7.18</v>
      </c>
      <c r="J491" s="5">
        <f t="shared" si="23"/>
        <v>1239.7994999999999</v>
      </c>
    </row>
    <row r="492" spans="1:10" x14ac:dyDescent="0.35">
      <c r="A492" s="3" t="s">
        <v>408</v>
      </c>
      <c r="B492" s="6">
        <v>43442</v>
      </c>
      <c r="C492" s="10" t="s">
        <v>11</v>
      </c>
      <c r="D492" s="3" t="s">
        <v>27</v>
      </c>
      <c r="E492" s="4">
        <v>20.99</v>
      </c>
      <c r="F492" s="3">
        <v>45</v>
      </c>
      <c r="G492" s="3">
        <f t="shared" si="21"/>
        <v>944.55</v>
      </c>
      <c r="H492" s="3">
        <f t="shared" si="22"/>
        <v>47.227499999999999</v>
      </c>
      <c r="I492" s="7">
        <v>4.8099999999999996</v>
      </c>
      <c r="J492" s="5">
        <f t="shared" si="23"/>
        <v>892.51250000000005</v>
      </c>
    </row>
    <row r="493" spans="1:10" x14ac:dyDescent="0.35">
      <c r="A493" s="3" t="s">
        <v>411</v>
      </c>
      <c r="B493" s="6">
        <v>43439</v>
      </c>
      <c r="C493" s="10" t="s">
        <v>11</v>
      </c>
      <c r="D493" s="3" t="s">
        <v>27</v>
      </c>
      <c r="E493" s="4">
        <v>5.68</v>
      </c>
      <c r="F493" s="3">
        <v>8</v>
      </c>
      <c r="G493" s="3">
        <f t="shared" si="21"/>
        <v>45.44</v>
      </c>
      <c r="H493" s="3">
        <f t="shared" si="22"/>
        <v>2.2719999999999998</v>
      </c>
      <c r="I493" s="7">
        <v>1.39</v>
      </c>
      <c r="J493" s="5">
        <f t="shared" si="23"/>
        <v>41.777999999999999</v>
      </c>
    </row>
    <row r="494" spans="1:10" x14ac:dyDescent="0.35">
      <c r="A494" s="3" t="s">
        <v>413</v>
      </c>
      <c r="B494" s="6">
        <v>43437</v>
      </c>
      <c r="C494" s="10" t="s">
        <v>11</v>
      </c>
      <c r="D494" s="3" t="s">
        <v>27</v>
      </c>
      <c r="E494" s="4">
        <v>7.08</v>
      </c>
      <c r="F494" s="3">
        <v>31</v>
      </c>
      <c r="G494" s="3">
        <f t="shared" si="21"/>
        <v>219.48</v>
      </c>
      <c r="H494" s="3">
        <f t="shared" si="22"/>
        <v>10.974</v>
      </c>
      <c r="I494" s="7">
        <v>2.35</v>
      </c>
      <c r="J494" s="5">
        <f t="shared" si="23"/>
        <v>206.15600000000001</v>
      </c>
    </row>
    <row r="495" spans="1:10" x14ac:dyDescent="0.35">
      <c r="A495" s="3" t="s">
        <v>414</v>
      </c>
      <c r="B495" s="6">
        <v>43436</v>
      </c>
      <c r="C495" s="10" t="s">
        <v>11</v>
      </c>
      <c r="D495" s="3" t="s">
        <v>27</v>
      </c>
      <c r="E495" s="4">
        <v>29.1</v>
      </c>
      <c r="F495" s="3">
        <v>50</v>
      </c>
      <c r="G495" s="3">
        <f t="shared" si="21"/>
        <v>1455</v>
      </c>
      <c r="H495" s="3">
        <f t="shared" si="22"/>
        <v>72.75</v>
      </c>
      <c r="I495" s="7">
        <v>4</v>
      </c>
      <c r="J495" s="5">
        <f t="shared" si="23"/>
        <v>1378.25</v>
      </c>
    </row>
    <row r="496" spans="1:10" x14ac:dyDescent="0.35">
      <c r="A496" s="3" t="s">
        <v>417</v>
      </c>
      <c r="B496" s="6">
        <v>43433</v>
      </c>
      <c r="C496" s="10" t="s">
        <v>11</v>
      </c>
      <c r="D496" s="3" t="s">
        <v>27</v>
      </c>
      <c r="E496" s="4">
        <v>19.98</v>
      </c>
      <c r="F496" s="3">
        <v>32</v>
      </c>
      <c r="G496" s="3">
        <f t="shared" si="21"/>
        <v>639.36</v>
      </c>
      <c r="H496" s="3">
        <f t="shared" si="22"/>
        <v>31.968000000000004</v>
      </c>
      <c r="I496" s="7">
        <v>5.77</v>
      </c>
      <c r="J496" s="5">
        <f t="shared" si="23"/>
        <v>601.62200000000007</v>
      </c>
    </row>
    <row r="497" spans="1:10" x14ac:dyDescent="0.35">
      <c r="A497" s="3" t="s">
        <v>419</v>
      </c>
      <c r="B497" s="6">
        <v>43431</v>
      </c>
      <c r="C497" s="10" t="s">
        <v>11</v>
      </c>
      <c r="D497" s="3" t="s">
        <v>27</v>
      </c>
      <c r="E497" s="4">
        <v>34.76</v>
      </c>
      <c r="F497" s="3">
        <v>43</v>
      </c>
      <c r="G497" s="3">
        <f t="shared" si="21"/>
        <v>1494.6799999999998</v>
      </c>
      <c r="H497" s="3">
        <f t="shared" si="22"/>
        <v>74.733999999999995</v>
      </c>
      <c r="I497" s="7">
        <v>8.2200000000000006</v>
      </c>
      <c r="J497" s="5">
        <f t="shared" si="23"/>
        <v>1411.7259999999999</v>
      </c>
    </row>
    <row r="498" spans="1:10" x14ac:dyDescent="0.35">
      <c r="A498" s="3" t="s">
        <v>423</v>
      </c>
      <c r="B498" s="6">
        <v>43427</v>
      </c>
      <c r="C498" s="10" t="s">
        <v>11</v>
      </c>
      <c r="D498" s="3" t="s">
        <v>27</v>
      </c>
      <c r="E498" s="4">
        <v>8.6</v>
      </c>
      <c r="F498" s="3">
        <v>2</v>
      </c>
      <c r="G498" s="3">
        <f t="shared" si="21"/>
        <v>17.2</v>
      </c>
      <c r="H498" s="3">
        <f t="shared" si="22"/>
        <v>0.86</v>
      </c>
      <c r="I498" s="7">
        <v>6.19</v>
      </c>
      <c r="J498" s="5">
        <f t="shared" si="23"/>
        <v>10.149999999999999</v>
      </c>
    </row>
    <row r="499" spans="1:10" x14ac:dyDescent="0.35">
      <c r="A499" s="3" t="s">
        <v>427</v>
      </c>
      <c r="B499" s="6">
        <v>43423</v>
      </c>
      <c r="C499" s="10" t="s">
        <v>11</v>
      </c>
      <c r="D499" s="3" t="s">
        <v>27</v>
      </c>
      <c r="E499" s="4">
        <v>2.88</v>
      </c>
      <c r="F499" s="3">
        <v>43</v>
      </c>
      <c r="G499" s="3">
        <f t="shared" si="21"/>
        <v>123.83999999999999</v>
      </c>
      <c r="H499" s="3">
        <f t="shared" si="22"/>
        <v>6.1920000000000002</v>
      </c>
      <c r="I499" s="7">
        <v>1.01</v>
      </c>
      <c r="J499" s="5">
        <f t="shared" si="23"/>
        <v>116.63799999999999</v>
      </c>
    </row>
    <row r="500" spans="1:10" x14ac:dyDescent="0.35">
      <c r="A500" s="3" t="s">
        <v>430</v>
      </c>
      <c r="B500" s="6">
        <v>43420</v>
      </c>
      <c r="C500" s="10" t="s">
        <v>11</v>
      </c>
      <c r="D500" s="3" t="s">
        <v>27</v>
      </c>
      <c r="E500" s="4">
        <v>3.69</v>
      </c>
      <c r="F500" s="3">
        <v>12</v>
      </c>
      <c r="G500" s="3">
        <f t="shared" si="21"/>
        <v>44.28</v>
      </c>
      <c r="H500" s="3">
        <f t="shared" si="22"/>
        <v>2.214</v>
      </c>
      <c r="I500" s="7">
        <v>0.5</v>
      </c>
      <c r="J500" s="5">
        <f t="shared" si="23"/>
        <v>41.566000000000003</v>
      </c>
    </row>
    <row r="501" spans="1:10" x14ac:dyDescent="0.35">
      <c r="A501" s="3" t="s">
        <v>432</v>
      </c>
      <c r="B501" s="6">
        <v>43418</v>
      </c>
      <c r="C501" s="10" t="s">
        <v>11</v>
      </c>
      <c r="D501" s="3" t="s">
        <v>27</v>
      </c>
      <c r="E501" s="4">
        <v>5.53</v>
      </c>
      <c r="F501" s="3">
        <v>12</v>
      </c>
      <c r="G501" s="3">
        <f t="shared" si="21"/>
        <v>66.36</v>
      </c>
      <c r="H501" s="3">
        <f t="shared" si="22"/>
        <v>3.3180000000000001</v>
      </c>
      <c r="I501" s="7">
        <v>6.98</v>
      </c>
      <c r="J501" s="5">
        <f t="shared" si="23"/>
        <v>56.061999999999998</v>
      </c>
    </row>
    <row r="502" spans="1:10" x14ac:dyDescent="0.35">
      <c r="A502" s="3" t="s">
        <v>433</v>
      </c>
      <c r="B502" s="6">
        <v>43417</v>
      </c>
      <c r="C502" s="10" t="s">
        <v>11</v>
      </c>
      <c r="D502" s="3" t="s">
        <v>27</v>
      </c>
      <c r="E502" s="4">
        <v>3.85</v>
      </c>
      <c r="F502" s="3">
        <v>12</v>
      </c>
      <c r="G502" s="3">
        <f t="shared" si="21"/>
        <v>46.2</v>
      </c>
      <c r="H502" s="3">
        <f t="shared" si="22"/>
        <v>2.31</v>
      </c>
      <c r="I502" s="7">
        <v>0.7</v>
      </c>
      <c r="J502" s="5">
        <f t="shared" si="23"/>
        <v>43.19</v>
      </c>
    </row>
    <row r="503" spans="1:10" x14ac:dyDescent="0.35">
      <c r="A503" s="3" t="s">
        <v>437</v>
      </c>
      <c r="B503" s="6">
        <v>43410</v>
      </c>
      <c r="C503" s="10" t="s">
        <v>11</v>
      </c>
      <c r="D503" s="3" t="s">
        <v>27</v>
      </c>
      <c r="E503" s="4">
        <v>162.93</v>
      </c>
      <c r="F503" s="3">
        <v>39</v>
      </c>
      <c r="G503" s="3">
        <f t="shared" si="21"/>
        <v>6354.27</v>
      </c>
      <c r="H503" s="3">
        <f t="shared" si="22"/>
        <v>317.71350000000007</v>
      </c>
      <c r="I503" s="7">
        <v>19.989999999999998</v>
      </c>
      <c r="J503" s="5">
        <f t="shared" si="23"/>
        <v>6016.5665000000008</v>
      </c>
    </row>
    <row r="504" spans="1:10" x14ac:dyDescent="0.35">
      <c r="A504" s="3" t="s">
        <v>438</v>
      </c>
      <c r="B504" s="6">
        <v>43387</v>
      </c>
      <c r="C504" s="10" t="s">
        <v>11</v>
      </c>
      <c r="D504" s="3" t="s">
        <v>27</v>
      </c>
      <c r="E504" s="4">
        <v>500.97</v>
      </c>
      <c r="F504" s="3">
        <v>37</v>
      </c>
      <c r="G504" s="3">
        <f t="shared" si="21"/>
        <v>18535.89</v>
      </c>
      <c r="H504" s="3">
        <f t="shared" si="22"/>
        <v>926.79449999999997</v>
      </c>
      <c r="I504" s="7">
        <v>69.3</v>
      </c>
      <c r="J504" s="5">
        <f t="shared" si="23"/>
        <v>17539.7955</v>
      </c>
    </row>
    <row r="505" spans="1:10" x14ac:dyDescent="0.35">
      <c r="A505" s="3" t="s">
        <v>439</v>
      </c>
      <c r="B505" s="6">
        <v>43386</v>
      </c>
      <c r="C505" s="10" t="s">
        <v>11</v>
      </c>
      <c r="D505" s="3" t="s">
        <v>27</v>
      </c>
      <c r="E505" s="4">
        <v>2.88</v>
      </c>
      <c r="F505" s="3">
        <v>27</v>
      </c>
      <c r="G505" s="3">
        <f t="shared" si="21"/>
        <v>77.759999999999991</v>
      </c>
      <c r="H505" s="3">
        <f t="shared" si="22"/>
        <v>3.8879999999999999</v>
      </c>
      <c r="I505" s="7">
        <v>0.99</v>
      </c>
      <c r="J505" s="5">
        <f t="shared" si="23"/>
        <v>72.881999999999991</v>
      </c>
    </row>
    <row r="506" spans="1:10" x14ac:dyDescent="0.35">
      <c r="A506" s="3" t="s">
        <v>440</v>
      </c>
      <c r="B506" s="6">
        <v>43384</v>
      </c>
      <c r="C506" s="10" t="s">
        <v>11</v>
      </c>
      <c r="D506" s="3" t="s">
        <v>27</v>
      </c>
      <c r="E506" s="4">
        <v>6.84</v>
      </c>
      <c r="F506" s="3">
        <v>26</v>
      </c>
      <c r="G506" s="3">
        <f t="shared" si="21"/>
        <v>177.84</v>
      </c>
      <c r="H506" s="3">
        <f t="shared" si="22"/>
        <v>8.8920000000000012</v>
      </c>
      <c r="I506" s="7">
        <v>4.42</v>
      </c>
      <c r="J506" s="5">
        <f t="shared" si="23"/>
        <v>164.52800000000002</v>
      </c>
    </row>
    <row r="507" spans="1:10" x14ac:dyDescent="0.35">
      <c r="A507" s="3" t="s">
        <v>441</v>
      </c>
      <c r="B507" s="6">
        <v>43383</v>
      </c>
      <c r="C507" s="10" t="s">
        <v>11</v>
      </c>
      <c r="D507" s="3" t="s">
        <v>27</v>
      </c>
      <c r="E507" s="4">
        <v>2.1</v>
      </c>
      <c r="F507" s="3">
        <v>34</v>
      </c>
      <c r="G507" s="3">
        <f t="shared" si="21"/>
        <v>71.400000000000006</v>
      </c>
      <c r="H507" s="3">
        <f t="shared" si="22"/>
        <v>3.5700000000000003</v>
      </c>
      <c r="I507" s="7">
        <v>0.7</v>
      </c>
      <c r="J507" s="5">
        <f t="shared" si="23"/>
        <v>67.13000000000001</v>
      </c>
    </row>
    <row r="508" spans="1:10" x14ac:dyDescent="0.35">
      <c r="A508" s="3" t="s">
        <v>442</v>
      </c>
      <c r="B508" s="6">
        <v>43380</v>
      </c>
      <c r="C508" s="10" t="s">
        <v>11</v>
      </c>
      <c r="D508" s="3" t="s">
        <v>27</v>
      </c>
      <c r="E508" s="4">
        <v>35.409999999999997</v>
      </c>
      <c r="F508" s="3">
        <v>1</v>
      </c>
      <c r="G508" s="3">
        <f t="shared" si="21"/>
        <v>35.409999999999997</v>
      </c>
      <c r="H508" s="3">
        <f t="shared" si="22"/>
        <v>1.7705</v>
      </c>
      <c r="I508" s="7">
        <v>1.99</v>
      </c>
      <c r="J508" s="5">
        <f t="shared" si="23"/>
        <v>31.6495</v>
      </c>
    </row>
    <row r="509" spans="1:10" x14ac:dyDescent="0.35">
      <c r="A509" s="3" t="s">
        <v>443</v>
      </c>
      <c r="B509" s="6">
        <v>43378</v>
      </c>
      <c r="C509" s="10" t="s">
        <v>11</v>
      </c>
      <c r="D509" s="3" t="s">
        <v>27</v>
      </c>
      <c r="E509" s="4">
        <v>22.38</v>
      </c>
      <c r="F509" s="3">
        <v>50</v>
      </c>
      <c r="G509" s="3">
        <f t="shared" si="21"/>
        <v>1119</v>
      </c>
      <c r="H509" s="3">
        <f t="shared" si="22"/>
        <v>55.95</v>
      </c>
      <c r="I509" s="7">
        <v>15.1</v>
      </c>
      <c r="J509" s="5">
        <f t="shared" si="23"/>
        <v>1047.95</v>
      </c>
    </row>
    <row r="510" spans="1:10" x14ac:dyDescent="0.35">
      <c r="A510" s="3" t="s">
        <v>444</v>
      </c>
      <c r="B510" s="6">
        <v>43377</v>
      </c>
      <c r="C510" s="10" t="s">
        <v>11</v>
      </c>
      <c r="D510" s="3" t="s">
        <v>27</v>
      </c>
      <c r="E510" s="4">
        <v>2.84</v>
      </c>
      <c r="F510" s="3">
        <v>21</v>
      </c>
      <c r="G510" s="3">
        <f t="shared" si="21"/>
        <v>59.64</v>
      </c>
      <c r="H510" s="3">
        <f t="shared" si="22"/>
        <v>2.9820000000000002</v>
      </c>
      <c r="I510" s="7">
        <v>0.93</v>
      </c>
      <c r="J510" s="5">
        <f t="shared" si="23"/>
        <v>55.728000000000002</v>
      </c>
    </row>
    <row r="511" spans="1:10" x14ac:dyDescent="0.35">
      <c r="A511" s="3" t="s">
        <v>445</v>
      </c>
      <c r="B511" s="6">
        <v>43376</v>
      </c>
      <c r="C511" s="10" t="s">
        <v>11</v>
      </c>
      <c r="D511" s="3" t="s">
        <v>27</v>
      </c>
      <c r="E511" s="4">
        <v>1.81</v>
      </c>
      <c r="F511" s="3">
        <v>9</v>
      </c>
      <c r="G511" s="3">
        <f t="shared" si="21"/>
        <v>16.29</v>
      </c>
      <c r="H511" s="3">
        <f t="shared" si="22"/>
        <v>0.8145</v>
      </c>
      <c r="I511" s="7">
        <v>0.75</v>
      </c>
      <c r="J511" s="5">
        <f t="shared" si="23"/>
        <v>14.725499999999998</v>
      </c>
    </row>
    <row r="512" spans="1:10" x14ac:dyDescent="0.35">
      <c r="A512" s="3" t="s">
        <v>446</v>
      </c>
      <c r="B512" s="6">
        <v>43375</v>
      </c>
      <c r="C512" s="10" t="s">
        <v>11</v>
      </c>
      <c r="D512" s="3" t="s">
        <v>27</v>
      </c>
      <c r="E512" s="4">
        <v>8.6</v>
      </c>
      <c r="F512" s="3">
        <v>48</v>
      </c>
      <c r="G512" s="3">
        <f t="shared" si="21"/>
        <v>412.79999999999995</v>
      </c>
      <c r="H512" s="3">
        <f t="shared" si="22"/>
        <v>20.64</v>
      </c>
      <c r="I512" s="7">
        <v>6.19</v>
      </c>
      <c r="J512" s="5">
        <f t="shared" si="23"/>
        <v>385.96999999999997</v>
      </c>
    </row>
    <row r="513" spans="1:10" x14ac:dyDescent="0.35">
      <c r="A513" s="3" t="s">
        <v>447</v>
      </c>
      <c r="B513" s="6">
        <v>43371</v>
      </c>
      <c r="C513" s="10" t="s">
        <v>11</v>
      </c>
      <c r="D513" s="3" t="s">
        <v>27</v>
      </c>
      <c r="E513" s="4">
        <v>6.84</v>
      </c>
      <c r="F513" s="3">
        <v>35</v>
      </c>
      <c r="G513" s="3">
        <f t="shared" si="21"/>
        <v>239.4</v>
      </c>
      <c r="H513" s="3">
        <f t="shared" si="22"/>
        <v>11.97</v>
      </c>
      <c r="I513" s="7">
        <v>4.42</v>
      </c>
      <c r="J513" s="5">
        <f t="shared" si="23"/>
        <v>223.01000000000002</v>
      </c>
    </row>
    <row r="514" spans="1:10" x14ac:dyDescent="0.35">
      <c r="A514" s="3" t="s">
        <v>448</v>
      </c>
      <c r="B514" s="6">
        <v>43364</v>
      </c>
      <c r="C514" s="10" t="s">
        <v>11</v>
      </c>
      <c r="D514" s="3" t="s">
        <v>27</v>
      </c>
      <c r="E514" s="4">
        <v>2.62</v>
      </c>
      <c r="F514" s="3">
        <v>37</v>
      </c>
      <c r="G514" s="3">
        <f t="shared" si="21"/>
        <v>96.94</v>
      </c>
      <c r="H514" s="3">
        <f t="shared" si="22"/>
        <v>4.8470000000000004</v>
      </c>
      <c r="I514" s="7">
        <v>0.8</v>
      </c>
      <c r="J514" s="5">
        <f t="shared" si="23"/>
        <v>91.293000000000006</v>
      </c>
    </row>
    <row r="515" spans="1:10" x14ac:dyDescent="0.35">
      <c r="A515" s="3" t="s">
        <v>449</v>
      </c>
      <c r="B515" s="6">
        <v>43359</v>
      </c>
      <c r="C515" s="10" t="s">
        <v>11</v>
      </c>
      <c r="D515" s="3" t="s">
        <v>27</v>
      </c>
      <c r="E515" s="4">
        <v>7.28</v>
      </c>
      <c r="F515" s="3">
        <v>36</v>
      </c>
      <c r="G515" s="3">
        <f t="shared" ref="G515:G578" si="24">E515*F515</f>
        <v>262.08</v>
      </c>
      <c r="H515" s="3">
        <f t="shared" ref="H515:H578" si="25">G515*5%</f>
        <v>13.103999999999999</v>
      </c>
      <c r="I515" s="7">
        <v>11.15</v>
      </c>
      <c r="J515" s="5">
        <f t="shared" ref="J515:J578" si="26">G515-H515-I515</f>
        <v>237.82599999999999</v>
      </c>
    </row>
    <row r="516" spans="1:10" x14ac:dyDescent="0.35">
      <c r="A516" s="3" t="s">
        <v>450</v>
      </c>
      <c r="B516" s="6">
        <v>43352</v>
      </c>
      <c r="C516" s="10" t="s">
        <v>11</v>
      </c>
      <c r="D516" s="3" t="s">
        <v>9</v>
      </c>
      <c r="E516" s="4">
        <v>34.76</v>
      </c>
      <c r="F516" s="3">
        <v>8</v>
      </c>
      <c r="G516" s="3">
        <f t="shared" si="24"/>
        <v>278.08</v>
      </c>
      <c r="H516" s="3">
        <f t="shared" si="25"/>
        <v>13.904</v>
      </c>
      <c r="I516" s="7">
        <v>8.2200000000000006</v>
      </c>
      <c r="J516" s="5">
        <f t="shared" si="26"/>
        <v>255.95599999999999</v>
      </c>
    </row>
    <row r="517" spans="1:10" x14ac:dyDescent="0.35">
      <c r="A517" s="3" t="s">
        <v>451</v>
      </c>
      <c r="B517" s="6">
        <v>43350</v>
      </c>
      <c r="C517" s="10" t="s">
        <v>11</v>
      </c>
      <c r="D517" s="3" t="s">
        <v>9</v>
      </c>
      <c r="E517" s="4">
        <v>40.97</v>
      </c>
      <c r="F517" s="3">
        <v>47</v>
      </c>
      <c r="G517" s="3">
        <f t="shared" si="24"/>
        <v>1925.59</v>
      </c>
      <c r="H517" s="3">
        <f t="shared" si="25"/>
        <v>96.279499999999999</v>
      </c>
      <c r="I517" s="7">
        <v>8.99</v>
      </c>
      <c r="J517" s="5">
        <f t="shared" si="26"/>
        <v>1820.3204999999998</v>
      </c>
    </row>
    <row r="518" spans="1:10" x14ac:dyDescent="0.35">
      <c r="A518" s="3" t="s">
        <v>452</v>
      </c>
      <c r="B518" s="6">
        <v>43346</v>
      </c>
      <c r="C518" s="10" t="s">
        <v>11</v>
      </c>
      <c r="D518" s="3" t="s">
        <v>19</v>
      </c>
      <c r="E518" s="4">
        <v>449.99</v>
      </c>
      <c r="F518" s="3">
        <v>34</v>
      </c>
      <c r="G518" s="3">
        <f t="shared" si="24"/>
        <v>15299.66</v>
      </c>
      <c r="H518" s="3">
        <f t="shared" si="25"/>
        <v>764.98300000000006</v>
      </c>
      <c r="I518" s="7">
        <v>49</v>
      </c>
      <c r="J518" s="5">
        <f t="shared" si="26"/>
        <v>14485.677</v>
      </c>
    </row>
    <row r="519" spans="1:10" x14ac:dyDescent="0.35">
      <c r="A519" s="3" t="s">
        <v>453</v>
      </c>
      <c r="B519" s="6">
        <v>43337</v>
      </c>
      <c r="C519" s="10" t="s">
        <v>11</v>
      </c>
      <c r="D519" s="3" t="s">
        <v>9</v>
      </c>
      <c r="E519" s="4">
        <v>1.88</v>
      </c>
      <c r="F519" s="3">
        <v>36</v>
      </c>
      <c r="G519" s="3">
        <f t="shared" si="24"/>
        <v>67.679999999999993</v>
      </c>
      <c r="H519" s="3">
        <f t="shared" si="25"/>
        <v>3.3839999999999999</v>
      </c>
      <c r="I519" s="7">
        <v>0.79</v>
      </c>
      <c r="J519" s="5">
        <f t="shared" si="26"/>
        <v>63.505999999999993</v>
      </c>
    </row>
    <row r="520" spans="1:10" x14ac:dyDescent="0.35">
      <c r="A520" s="3" t="s">
        <v>454</v>
      </c>
      <c r="B520" s="6">
        <v>43334</v>
      </c>
      <c r="C520" s="10" t="s">
        <v>11</v>
      </c>
      <c r="D520" s="3" t="s">
        <v>9</v>
      </c>
      <c r="E520" s="4">
        <v>4</v>
      </c>
      <c r="F520" s="3">
        <v>32</v>
      </c>
      <c r="G520" s="3">
        <f t="shared" si="24"/>
        <v>128</v>
      </c>
      <c r="H520" s="3">
        <f t="shared" si="25"/>
        <v>6.4</v>
      </c>
      <c r="I520" s="7">
        <v>1.3</v>
      </c>
      <c r="J520" s="5">
        <f t="shared" si="26"/>
        <v>120.3</v>
      </c>
    </row>
    <row r="521" spans="1:10" x14ac:dyDescent="0.35">
      <c r="A521" s="3" t="s">
        <v>455</v>
      </c>
      <c r="B521" s="6">
        <v>43328</v>
      </c>
      <c r="C521" s="10" t="s">
        <v>11</v>
      </c>
      <c r="D521" s="3" t="s">
        <v>9</v>
      </c>
      <c r="E521" s="4">
        <v>3.85</v>
      </c>
      <c r="F521" s="3">
        <v>10</v>
      </c>
      <c r="G521" s="3">
        <f t="shared" si="24"/>
        <v>38.5</v>
      </c>
      <c r="H521" s="3">
        <f t="shared" si="25"/>
        <v>1.925</v>
      </c>
      <c r="I521" s="7">
        <v>0.7</v>
      </c>
      <c r="J521" s="5">
        <f t="shared" si="26"/>
        <v>35.875</v>
      </c>
    </row>
    <row r="522" spans="1:10" x14ac:dyDescent="0.35">
      <c r="A522" s="3" t="s">
        <v>456</v>
      </c>
      <c r="B522" s="6">
        <v>43325</v>
      </c>
      <c r="C522" s="10" t="s">
        <v>11</v>
      </c>
      <c r="D522" s="3" t="s">
        <v>9</v>
      </c>
      <c r="E522" s="4">
        <v>5.4</v>
      </c>
      <c r="F522" s="3">
        <v>22</v>
      </c>
      <c r="G522" s="3">
        <f t="shared" si="24"/>
        <v>118.80000000000001</v>
      </c>
      <c r="H522" s="3">
        <f t="shared" si="25"/>
        <v>5.9400000000000013</v>
      </c>
      <c r="I522" s="7">
        <v>7.78</v>
      </c>
      <c r="J522" s="5">
        <f t="shared" si="26"/>
        <v>105.08000000000001</v>
      </c>
    </row>
    <row r="523" spans="1:10" x14ac:dyDescent="0.35">
      <c r="A523" s="3" t="s">
        <v>457</v>
      </c>
      <c r="B523" s="6">
        <v>43323</v>
      </c>
      <c r="C523" s="10" t="s">
        <v>11</v>
      </c>
      <c r="D523" s="3" t="s">
        <v>9</v>
      </c>
      <c r="E523" s="4">
        <v>11.97</v>
      </c>
      <c r="F523" s="3">
        <v>8</v>
      </c>
      <c r="G523" s="3">
        <f t="shared" si="24"/>
        <v>95.76</v>
      </c>
      <c r="H523" s="3">
        <f t="shared" si="25"/>
        <v>4.7880000000000003</v>
      </c>
      <c r="I523" s="7">
        <v>5.81</v>
      </c>
      <c r="J523" s="5">
        <f t="shared" si="26"/>
        <v>85.162000000000006</v>
      </c>
    </row>
    <row r="524" spans="1:10" x14ac:dyDescent="0.35">
      <c r="A524" s="3" t="s">
        <v>458</v>
      </c>
      <c r="B524" s="6">
        <v>43322</v>
      </c>
      <c r="C524" s="10" t="s">
        <v>11</v>
      </c>
      <c r="D524" s="3" t="s">
        <v>9</v>
      </c>
      <c r="E524" s="4">
        <v>15.98</v>
      </c>
      <c r="F524" s="3">
        <v>38</v>
      </c>
      <c r="G524" s="3">
        <f t="shared" si="24"/>
        <v>607.24</v>
      </c>
      <c r="H524" s="3">
        <f t="shared" si="25"/>
        <v>30.362000000000002</v>
      </c>
      <c r="I524" s="7">
        <v>6.5</v>
      </c>
      <c r="J524" s="5">
        <f t="shared" si="26"/>
        <v>570.37800000000004</v>
      </c>
    </row>
    <row r="525" spans="1:10" x14ac:dyDescent="0.35">
      <c r="A525" s="3" t="s">
        <v>459</v>
      </c>
      <c r="B525" s="6">
        <v>43321</v>
      </c>
      <c r="C525" s="10" t="s">
        <v>11</v>
      </c>
      <c r="D525" s="3" t="s">
        <v>27</v>
      </c>
      <c r="E525" s="4">
        <v>10.89</v>
      </c>
      <c r="F525" s="3">
        <v>4</v>
      </c>
      <c r="G525" s="3">
        <f t="shared" si="24"/>
        <v>43.56</v>
      </c>
      <c r="H525" s="3">
        <f t="shared" si="25"/>
        <v>2.1780000000000004</v>
      </c>
      <c r="I525" s="7">
        <v>4.5</v>
      </c>
      <c r="J525" s="5">
        <f t="shared" si="26"/>
        <v>36.882000000000005</v>
      </c>
    </row>
    <row r="526" spans="1:10" x14ac:dyDescent="0.35">
      <c r="A526" s="3" t="s">
        <v>460</v>
      </c>
      <c r="B526" s="6">
        <v>43320</v>
      </c>
      <c r="C526" s="10" t="s">
        <v>11</v>
      </c>
      <c r="D526" s="3" t="s">
        <v>9</v>
      </c>
      <c r="E526" s="4">
        <v>6.3</v>
      </c>
      <c r="F526" s="3">
        <v>8</v>
      </c>
      <c r="G526" s="3">
        <f t="shared" si="24"/>
        <v>50.4</v>
      </c>
      <c r="H526" s="3">
        <f t="shared" si="25"/>
        <v>2.52</v>
      </c>
      <c r="I526" s="7">
        <v>0.5</v>
      </c>
      <c r="J526" s="5">
        <f t="shared" si="26"/>
        <v>47.379999999999995</v>
      </c>
    </row>
    <row r="527" spans="1:10" x14ac:dyDescent="0.35">
      <c r="A527" s="3" t="s">
        <v>461</v>
      </c>
      <c r="B527" s="6">
        <v>43319</v>
      </c>
      <c r="C527" s="10" t="s">
        <v>11</v>
      </c>
      <c r="D527" s="3" t="s">
        <v>9</v>
      </c>
      <c r="E527" s="4">
        <v>12.98</v>
      </c>
      <c r="F527" s="3">
        <v>11</v>
      </c>
      <c r="G527" s="3">
        <f t="shared" si="24"/>
        <v>142.78</v>
      </c>
      <c r="H527" s="3">
        <f t="shared" si="25"/>
        <v>7.1390000000000002</v>
      </c>
      <c r="I527" s="7">
        <v>3.14</v>
      </c>
      <c r="J527" s="5">
        <f t="shared" si="26"/>
        <v>132.501</v>
      </c>
    </row>
    <row r="528" spans="1:10" x14ac:dyDescent="0.35">
      <c r="A528" s="3" t="s">
        <v>462</v>
      </c>
      <c r="B528" s="6">
        <v>43318</v>
      </c>
      <c r="C528" s="10" t="s">
        <v>11</v>
      </c>
      <c r="D528" s="3" t="s">
        <v>9</v>
      </c>
      <c r="E528" s="4">
        <v>4</v>
      </c>
      <c r="F528" s="3">
        <v>19</v>
      </c>
      <c r="G528" s="3">
        <f t="shared" si="24"/>
        <v>76</v>
      </c>
      <c r="H528" s="3">
        <f t="shared" si="25"/>
        <v>3.8000000000000003</v>
      </c>
      <c r="I528" s="7">
        <v>1.3</v>
      </c>
      <c r="J528" s="5">
        <f t="shared" si="26"/>
        <v>70.900000000000006</v>
      </c>
    </row>
    <row r="529" spans="1:10" x14ac:dyDescent="0.35">
      <c r="A529" s="3" t="s">
        <v>463</v>
      </c>
      <c r="B529" s="6">
        <v>43317</v>
      </c>
      <c r="C529" s="10" t="s">
        <v>11</v>
      </c>
      <c r="D529" s="3" t="s">
        <v>9</v>
      </c>
      <c r="E529" s="4">
        <v>4</v>
      </c>
      <c r="F529" s="3">
        <v>36</v>
      </c>
      <c r="G529" s="3">
        <f t="shared" si="24"/>
        <v>144</v>
      </c>
      <c r="H529" s="3">
        <f t="shared" si="25"/>
        <v>7.2</v>
      </c>
      <c r="I529" s="7">
        <v>1.3</v>
      </c>
      <c r="J529" s="5">
        <f t="shared" si="26"/>
        <v>135.5</v>
      </c>
    </row>
    <row r="530" spans="1:10" x14ac:dyDescent="0.35">
      <c r="A530" s="3" t="s">
        <v>464</v>
      </c>
      <c r="B530" s="6">
        <v>43311</v>
      </c>
      <c r="C530" s="10" t="s">
        <v>11</v>
      </c>
      <c r="D530" s="3" t="s">
        <v>9</v>
      </c>
      <c r="E530" s="4">
        <v>3.08</v>
      </c>
      <c r="F530" s="3">
        <v>46</v>
      </c>
      <c r="G530" s="3">
        <f t="shared" si="24"/>
        <v>141.68</v>
      </c>
      <c r="H530" s="3">
        <f t="shared" si="25"/>
        <v>7.0840000000000005</v>
      </c>
      <c r="I530" s="7">
        <v>0.99</v>
      </c>
      <c r="J530" s="5">
        <f t="shared" si="26"/>
        <v>133.60599999999999</v>
      </c>
    </row>
    <row r="531" spans="1:10" x14ac:dyDescent="0.35">
      <c r="A531" s="3" t="s">
        <v>465</v>
      </c>
      <c r="B531" s="6">
        <v>43240</v>
      </c>
      <c r="C531" s="10" t="s">
        <v>11</v>
      </c>
      <c r="D531" s="3" t="s">
        <v>27</v>
      </c>
      <c r="E531" s="4">
        <v>4.91</v>
      </c>
      <c r="F531" s="3">
        <v>24</v>
      </c>
      <c r="G531" s="3">
        <f t="shared" si="24"/>
        <v>117.84</v>
      </c>
      <c r="H531" s="3">
        <f t="shared" si="25"/>
        <v>5.8920000000000003</v>
      </c>
      <c r="I531" s="7">
        <v>0.5</v>
      </c>
      <c r="J531" s="5">
        <f t="shared" si="26"/>
        <v>111.44800000000001</v>
      </c>
    </row>
    <row r="532" spans="1:10" x14ac:dyDescent="0.35">
      <c r="A532" s="3" t="s">
        <v>466</v>
      </c>
      <c r="B532" s="6">
        <v>43239</v>
      </c>
      <c r="C532" s="10" t="s">
        <v>11</v>
      </c>
      <c r="D532" s="3" t="s">
        <v>9</v>
      </c>
      <c r="E532" s="4">
        <v>36.549999999999997</v>
      </c>
      <c r="F532" s="3">
        <v>48</v>
      </c>
      <c r="G532" s="3">
        <f t="shared" si="24"/>
        <v>1754.3999999999999</v>
      </c>
      <c r="H532" s="3">
        <f t="shared" si="25"/>
        <v>87.72</v>
      </c>
      <c r="I532" s="7">
        <v>13.89</v>
      </c>
      <c r="J532" s="5">
        <f t="shared" si="26"/>
        <v>1652.7899999999997</v>
      </c>
    </row>
    <row r="533" spans="1:10" x14ac:dyDescent="0.35">
      <c r="A533" s="3" t="s">
        <v>467</v>
      </c>
      <c r="B533" s="6">
        <v>43230</v>
      </c>
      <c r="C533" s="10" t="s">
        <v>11</v>
      </c>
      <c r="D533" s="3" t="s">
        <v>27</v>
      </c>
      <c r="E533" s="4">
        <v>3.58</v>
      </c>
      <c r="F533" s="3">
        <v>44</v>
      </c>
      <c r="G533" s="3">
        <f t="shared" si="24"/>
        <v>157.52000000000001</v>
      </c>
      <c r="H533" s="3">
        <f t="shared" si="25"/>
        <v>7.8760000000000012</v>
      </c>
      <c r="I533" s="7">
        <v>5.47</v>
      </c>
      <c r="J533" s="5">
        <f t="shared" si="26"/>
        <v>144.17400000000001</v>
      </c>
    </row>
    <row r="534" spans="1:10" x14ac:dyDescent="0.35">
      <c r="A534" s="3" t="s">
        <v>468</v>
      </c>
      <c r="B534" s="6">
        <v>43223</v>
      </c>
      <c r="C534" s="10" t="s">
        <v>11</v>
      </c>
      <c r="D534" s="3" t="s">
        <v>9</v>
      </c>
      <c r="E534" s="4">
        <v>20.99</v>
      </c>
      <c r="F534" s="3">
        <v>10</v>
      </c>
      <c r="G534" s="3">
        <f t="shared" si="24"/>
        <v>209.89999999999998</v>
      </c>
      <c r="H534" s="3">
        <f t="shared" si="25"/>
        <v>10.494999999999999</v>
      </c>
      <c r="I534" s="7">
        <v>4.8099999999999996</v>
      </c>
      <c r="J534" s="5">
        <f t="shared" si="26"/>
        <v>194.59499999999997</v>
      </c>
    </row>
    <row r="535" spans="1:10" x14ac:dyDescent="0.35">
      <c r="A535" s="3" t="s">
        <v>469</v>
      </c>
      <c r="B535" s="6">
        <v>43220</v>
      </c>
      <c r="C535" s="10" t="s">
        <v>11</v>
      </c>
      <c r="D535" s="3" t="s">
        <v>9</v>
      </c>
      <c r="E535" s="4">
        <v>11.97</v>
      </c>
      <c r="F535" s="3">
        <v>46</v>
      </c>
      <c r="G535" s="3">
        <f t="shared" si="24"/>
        <v>550.62</v>
      </c>
      <c r="H535" s="3">
        <f t="shared" si="25"/>
        <v>27.531000000000002</v>
      </c>
      <c r="I535" s="7">
        <v>5.81</v>
      </c>
      <c r="J535" s="5">
        <f t="shared" si="26"/>
        <v>517.27900000000011</v>
      </c>
    </row>
    <row r="536" spans="1:10" x14ac:dyDescent="0.35">
      <c r="A536" s="3" t="s">
        <v>470</v>
      </c>
      <c r="B536" s="6">
        <v>43218</v>
      </c>
      <c r="C536" s="10" t="s">
        <v>11</v>
      </c>
      <c r="D536" s="3" t="s">
        <v>27</v>
      </c>
      <c r="E536" s="4">
        <v>12.22</v>
      </c>
      <c r="F536" s="3">
        <v>18</v>
      </c>
      <c r="G536" s="3">
        <f t="shared" si="24"/>
        <v>219.96</v>
      </c>
      <c r="H536" s="3">
        <f t="shared" si="25"/>
        <v>10.998000000000001</v>
      </c>
      <c r="I536" s="7">
        <v>2.85</v>
      </c>
      <c r="J536" s="5">
        <f t="shared" si="26"/>
        <v>206.11200000000002</v>
      </c>
    </row>
    <row r="537" spans="1:10" x14ac:dyDescent="0.35">
      <c r="A537" s="3" t="s">
        <v>471</v>
      </c>
      <c r="B537" s="6">
        <v>43212</v>
      </c>
      <c r="C537" s="10" t="s">
        <v>11</v>
      </c>
      <c r="D537" s="3" t="s">
        <v>9</v>
      </c>
      <c r="E537" s="4">
        <v>136.97999999999999</v>
      </c>
      <c r="F537" s="3">
        <v>44</v>
      </c>
      <c r="G537" s="3">
        <f t="shared" si="24"/>
        <v>6027.12</v>
      </c>
      <c r="H537" s="3">
        <f t="shared" si="25"/>
        <v>301.35599999999999</v>
      </c>
      <c r="I537" s="7">
        <v>24.49</v>
      </c>
      <c r="J537" s="5">
        <f t="shared" si="26"/>
        <v>5701.2740000000003</v>
      </c>
    </row>
    <row r="538" spans="1:10" x14ac:dyDescent="0.35">
      <c r="A538" s="3" t="s">
        <v>472</v>
      </c>
      <c r="B538" s="6">
        <v>43207</v>
      </c>
      <c r="C538" s="10" t="s">
        <v>11</v>
      </c>
      <c r="D538" s="3" t="s">
        <v>9</v>
      </c>
      <c r="E538" s="4">
        <v>2.84</v>
      </c>
      <c r="F538" s="3">
        <v>48</v>
      </c>
      <c r="G538" s="3">
        <f t="shared" si="24"/>
        <v>136.32</v>
      </c>
      <c r="H538" s="3">
        <f t="shared" si="25"/>
        <v>6.8159999999999998</v>
      </c>
      <c r="I538" s="7">
        <v>0.93</v>
      </c>
      <c r="J538" s="5">
        <f t="shared" si="26"/>
        <v>128.57399999999998</v>
      </c>
    </row>
    <row r="539" spans="1:10" x14ac:dyDescent="0.35">
      <c r="A539" s="3" t="s">
        <v>473</v>
      </c>
      <c r="B539" s="6">
        <v>43203</v>
      </c>
      <c r="C539" s="10" t="s">
        <v>11</v>
      </c>
      <c r="D539" s="3" t="s">
        <v>9</v>
      </c>
      <c r="E539" s="4">
        <v>7.28</v>
      </c>
      <c r="F539" s="3">
        <v>11</v>
      </c>
      <c r="G539" s="3">
        <f t="shared" si="24"/>
        <v>80.08</v>
      </c>
      <c r="H539" s="3">
        <f t="shared" si="25"/>
        <v>4.0040000000000004</v>
      </c>
      <c r="I539" s="7">
        <v>11.15</v>
      </c>
      <c r="J539" s="5">
        <f t="shared" si="26"/>
        <v>64.925999999999988</v>
      </c>
    </row>
    <row r="540" spans="1:10" x14ac:dyDescent="0.35">
      <c r="A540" s="3" t="s">
        <v>474</v>
      </c>
      <c r="B540" s="6">
        <v>43202</v>
      </c>
      <c r="C540" s="10" t="s">
        <v>11</v>
      </c>
      <c r="D540" s="3" t="s">
        <v>9</v>
      </c>
      <c r="E540" s="4">
        <v>10.23</v>
      </c>
      <c r="F540" s="3">
        <v>22</v>
      </c>
      <c r="G540" s="3">
        <f t="shared" si="24"/>
        <v>225.06</v>
      </c>
      <c r="H540" s="3">
        <f t="shared" si="25"/>
        <v>11.253</v>
      </c>
      <c r="I540" s="7">
        <v>4.68</v>
      </c>
      <c r="J540" s="5">
        <f t="shared" si="26"/>
        <v>209.12700000000001</v>
      </c>
    </row>
    <row r="541" spans="1:10" x14ac:dyDescent="0.35">
      <c r="A541" s="3" t="s">
        <v>475</v>
      </c>
      <c r="B541" s="6">
        <v>43198</v>
      </c>
      <c r="C541" s="10" t="s">
        <v>11</v>
      </c>
      <c r="D541" s="3" t="s">
        <v>9</v>
      </c>
      <c r="E541" s="4">
        <v>1.26</v>
      </c>
      <c r="F541" s="3">
        <v>35</v>
      </c>
      <c r="G541" s="3">
        <f t="shared" si="24"/>
        <v>44.1</v>
      </c>
      <c r="H541" s="3">
        <f t="shared" si="25"/>
        <v>2.2050000000000001</v>
      </c>
      <c r="I541" s="7">
        <v>0.7</v>
      </c>
      <c r="J541" s="5">
        <f t="shared" si="26"/>
        <v>41.195</v>
      </c>
    </row>
    <row r="542" spans="1:10" x14ac:dyDescent="0.35">
      <c r="A542" s="3" t="s">
        <v>476</v>
      </c>
      <c r="B542" s="6">
        <v>43194</v>
      </c>
      <c r="C542" s="10" t="s">
        <v>11</v>
      </c>
      <c r="D542" s="3" t="s">
        <v>9</v>
      </c>
      <c r="E542" s="4">
        <v>6.3</v>
      </c>
      <c r="F542" s="3">
        <v>18</v>
      </c>
      <c r="G542" s="3">
        <f t="shared" si="24"/>
        <v>113.39999999999999</v>
      </c>
      <c r="H542" s="3">
        <f t="shared" si="25"/>
        <v>5.67</v>
      </c>
      <c r="I542" s="7">
        <v>0.5</v>
      </c>
      <c r="J542" s="5">
        <f t="shared" si="26"/>
        <v>107.22999999999999</v>
      </c>
    </row>
    <row r="543" spans="1:10" x14ac:dyDescent="0.35">
      <c r="A543" s="3" t="s">
        <v>477</v>
      </c>
      <c r="B543" s="6">
        <v>43192</v>
      </c>
      <c r="C543" s="10" t="s">
        <v>11</v>
      </c>
      <c r="D543" s="3" t="s">
        <v>9</v>
      </c>
      <c r="E543" s="4">
        <v>20.98</v>
      </c>
      <c r="F543" s="3">
        <v>39</v>
      </c>
      <c r="G543" s="3">
        <f t="shared" si="24"/>
        <v>818.22</v>
      </c>
      <c r="H543" s="3">
        <f t="shared" si="25"/>
        <v>40.911000000000001</v>
      </c>
      <c r="I543" s="7">
        <v>5.42</v>
      </c>
      <c r="J543" s="5">
        <f t="shared" si="26"/>
        <v>771.88900000000001</v>
      </c>
    </row>
    <row r="544" spans="1:10" x14ac:dyDescent="0.35">
      <c r="A544" s="3" t="s">
        <v>478</v>
      </c>
      <c r="B544" s="6">
        <v>43182</v>
      </c>
      <c r="C544" s="10" t="s">
        <v>11</v>
      </c>
      <c r="D544" s="3" t="s">
        <v>9</v>
      </c>
      <c r="E544" s="4">
        <v>35.44</v>
      </c>
      <c r="F544" s="3">
        <v>21</v>
      </c>
      <c r="G544" s="3">
        <f t="shared" si="24"/>
        <v>744.24</v>
      </c>
      <c r="H544" s="3">
        <f t="shared" si="25"/>
        <v>37.212000000000003</v>
      </c>
      <c r="I544" s="7">
        <v>4.92</v>
      </c>
      <c r="J544" s="5">
        <f t="shared" si="26"/>
        <v>702.10800000000006</v>
      </c>
    </row>
    <row r="545" spans="1:10" x14ac:dyDescent="0.35">
      <c r="A545" s="3" t="s">
        <v>479</v>
      </c>
      <c r="B545" s="6">
        <v>43180</v>
      </c>
      <c r="C545" s="10" t="s">
        <v>11</v>
      </c>
      <c r="D545" s="3" t="s">
        <v>9</v>
      </c>
      <c r="E545" s="4">
        <v>7.08</v>
      </c>
      <c r="F545" s="3">
        <v>34</v>
      </c>
      <c r="G545" s="3">
        <f t="shared" si="24"/>
        <v>240.72</v>
      </c>
      <c r="H545" s="3">
        <f t="shared" si="25"/>
        <v>12.036000000000001</v>
      </c>
      <c r="I545" s="7">
        <v>2.35</v>
      </c>
      <c r="J545" s="5">
        <f t="shared" si="26"/>
        <v>226.334</v>
      </c>
    </row>
    <row r="546" spans="1:10" x14ac:dyDescent="0.35">
      <c r="A546" s="3" t="s">
        <v>480</v>
      </c>
      <c r="B546" s="6">
        <v>43176</v>
      </c>
      <c r="C546" s="10" t="s">
        <v>11</v>
      </c>
      <c r="D546" s="3" t="s">
        <v>9</v>
      </c>
      <c r="E546" s="4">
        <v>10.89</v>
      </c>
      <c r="F546" s="3">
        <v>32</v>
      </c>
      <c r="G546" s="3">
        <f t="shared" si="24"/>
        <v>348.48</v>
      </c>
      <c r="H546" s="3">
        <f t="shared" si="25"/>
        <v>17.424000000000003</v>
      </c>
      <c r="I546" s="7">
        <v>4.5</v>
      </c>
      <c r="J546" s="5">
        <f t="shared" si="26"/>
        <v>326.55600000000004</v>
      </c>
    </row>
    <row r="547" spans="1:10" x14ac:dyDescent="0.35">
      <c r="A547" s="3" t="s">
        <v>481</v>
      </c>
      <c r="B547" s="6">
        <v>43164</v>
      </c>
      <c r="C547" s="10" t="s">
        <v>11</v>
      </c>
      <c r="D547" s="3" t="s">
        <v>9</v>
      </c>
      <c r="E547" s="4">
        <v>2.67</v>
      </c>
      <c r="F547" s="3">
        <v>19</v>
      </c>
      <c r="G547" s="3">
        <f t="shared" si="24"/>
        <v>50.73</v>
      </c>
      <c r="H547" s="3">
        <f t="shared" si="25"/>
        <v>2.5365000000000002</v>
      </c>
      <c r="I547" s="7">
        <v>0.86</v>
      </c>
      <c r="J547" s="5">
        <f t="shared" si="26"/>
        <v>47.333500000000001</v>
      </c>
    </row>
    <row r="548" spans="1:10" x14ac:dyDescent="0.35">
      <c r="A548" s="3" t="s">
        <v>482</v>
      </c>
      <c r="B548" s="6">
        <v>43160</v>
      </c>
      <c r="C548" s="10" t="s">
        <v>11</v>
      </c>
      <c r="D548" s="3" t="s">
        <v>9</v>
      </c>
      <c r="E548" s="4">
        <v>20.99</v>
      </c>
      <c r="F548" s="3">
        <v>42</v>
      </c>
      <c r="G548" s="3">
        <f t="shared" si="24"/>
        <v>881.57999999999993</v>
      </c>
      <c r="H548" s="3">
        <f t="shared" si="25"/>
        <v>44.079000000000001</v>
      </c>
      <c r="I548" s="7">
        <v>4.8099999999999996</v>
      </c>
      <c r="J548" s="5">
        <f t="shared" si="26"/>
        <v>832.69100000000003</v>
      </c>
    </row>
    <row r="549" spans="1:10" x14ac:dyDescent="0.35">
      <c r="A549" s="3" t="s">
        <v>483</v>
      </c>
      <c r="B549" s="6">
        <v>43156</v>
      </c>
      <c r="C549" s="10" t="s">
        <v>11</v>
      </c>
      <c r="D549" s="3" t="s">
        <v>27</v>
      </c>
      <c r="E549" s="4">
        <v>3.98</v>
      </c>
      <c r="F549" s="3">
        <v>11</v>
      </c>
      <c r="G549" s="3">
        <f t="shared" si="24"/>
        <v>43.78</v>
      </c>
      <c r="H549" s="3">
        <f t="shared" si="25"/>
        <v>2.1890000000000001</v>
      </c>
      <c r="I549" s="7">
        <v>2.97</v>
      </c>
      <c r="J549" s="5">
        <f t="shared" si="26"/>
        <v>38.621000000000002</v>
      </c>
    </row>
    <row r="550" spans="1:10" x14ac:dyDescent="0.35">
      <c r="A550" s="3" t="s">
        <v>484</v>
      </c>
      <c r="B550" s="6">
        <v>43148</v>
      </c>
      <c r="C550" s="10" t="s">
        <v>11</v>
      </c>
      <c r="D550" s="3" t="s">
        <v>9</v>
      </c>
      <c r="E550" s="4">
        <v>12.22</v>
      </c>
      <c r="F550" s="3">
        <v>19</v>
      </c>
      <c r="G550" s="3">
        <f t="shared" si="24"/>
        <v>232.18</v>
      </c>
      <c r="H550" s="3">
        <f t="shared" si="25"/>
        <v>11.609000000000002</v>
      </c>
      <c r="I550" s="7">
        <v>2.85</v>
      </c>
      <c r="J550" s="5">
        <f t="shared" si="26"/>
        <v>217.721</v>
      </c>
    </row>
    <row r="551" spans="1:10" x14ac:dyDescent="0.35">
      <c r="A551" s="3" t="s">
        <v>485</v>
      </c>
      <c r="B551" s="6">
        <v>43138</v>
      </c>
      <c r="C551" s="10" t="s">
        <v>11</v>
      </c>
      <c r="D551" s="3" t="s">
        <v>9</v>
      </c>
      <c r="E551" s="4">
        <v>35.94</v>
      </c>
      <c r="F551" s="3">
        <v>13</v>
      </c>
      <c r="G551" s="3">
        <f t="shared" si="24"/>
        <v>467.21999999999997</v>
      </c>
      <c r="H551" s="3">
        <f t="shared" si="25"/>
        <v>23.361000000000001</v>
      </c>
      <c r="I551" s="7">
        <v>6.66</v>
      </c>
      <c r="J551" s="5">
        <f t="shared" si="26"/>
        <v>437.19899999999996</v>
      </c>
    </row>
    <row r="552" spans="1:10" x14ac:dyDescent="0.35">
      <c r="A552" s="3" t="s">
        <v>486</v>
      </c>
      <c r="B552" s="6">
        <v>43127</v>
      </c>
      <c r="C552" s="10" t="s">
        <v>11</v>
      </c>
      <c r="D552" s="3" t="s">
        <v>9</v>
      </c>
      <c r="E552" s="4">
        <v>20.98</v>
      </c>
      <c r="F552" s="3">
        <v>23</v>
      </c>
      <c r="G552" s="3">
        <f t="shared" si="24"/>
        <v>482.54</v>
      </c>
      <c r="H552" s="3">
        <f t="shared" si="25"/>
        <v>24.127000000000002</v>
      </c>
      <c r="I552" s="7">
        <v>1.49</v>
      </c>
      <c r="J552" s="5">
        <f t="shared" si="26"/>
        <v>456.923</v>
      </c>
    </row>
    <row r="553" spans="1:10" x14ac:dyDescent="0.35">
      <c r="A553" s="3" t="s">
        <v>487</v>
      </c>
      <c r="B553" s="6">
        <v>43122</v>
      </c>
      <c r="C553" s="10" t="s">
        <v>11</v>
      </c>
      <c r="D553" s="3" t="s">
        <v>9</v>
      </c>
      <c r="E553" s="4">
        <v>4.91</v>
      </c>
      <c r="F553" s="3">
        <v>12</v>
      </c>
      <c r="G553" s="3">
        <f t="shared" si="24"/>
        <v>58.92</v>
      </c>
      <c r="H553" s="3">
        <f t="shared" si="25"/>
        <v>2.9460000000000002</v>
      </c>
      <c r="I553" s="7">
        <v>0.5</v>
      </c>
      <c r="J553" s="5">
        <f t="shared" si="26"/>
        <v>55.474000000000004</v>
      </c>
    </row>
    <row r="554" spans="1:10" x14ac:dyDescent="0.35">
      <c r="A554" s="3" t="s">
        <v>488</v>
      </c>
      <c r="B554" s="6">
        <v>43121</v>
      </c>
      <c r="C554" s="10" t="s">
        <v>11</v>
      </c>
      <c r="D554" s="3" t="s">
        <v>9</v>
      </c>
      <c r="E554" s="4">
        <v>80.98</v>
      </c>
      <c r="F554" s="3">
        <v>13</v>
      </c>
      <c r="G554" s="3">
        <f t="shared" si="24"/>
        <v>1052.74</v>
      </c>
      <c r="H554" s="3">
        <f t="shared" si="25"/>
        <v>52.637</v>
      </c>
      <c r="I554" s="7">
        <v>7.18</v>
      </c>
      <c r="J554" s="5">
        <f t="shared" si="26"/>
        <v>992.92300000000012</v>
      </c>
    </row>
    <row r="555" spans="1:10" x14ac:dyDescent="0.35">
      <c r="A555" s="3" t="s">
        <v>489</v>
      </c>
      <c r="B555" s="6">
        <v>43116</v>
      </c>
      <c r="C555" s="10" t="s">
        <v>11</v>
      </c>
      <c r="D555" s="3" t="s">
        <v>9</v>
      </c>
      <c r="E555" s="4">
        <v>8.6</v>
      </c>
      <c r="F555" s="3">
        <v>6</v>
      </c>
      <c r="G555" s="3">
        <f t="shared" si="24"/>
        <v>51.599999999999994</v>
      </c>
      <c r="H555" s="3">
        <f t="shared" si="25"/>
        <v>2.58</v>
      </c>
      <c r="I555" s="7">
        <v>6.19</v>
      </c>
      <c r="J555" s="5">
        <f t="shared" si="26"/>
        <v>42.83</v>
      </c>
    </row>
    <row r="556" spans="1:10" x14ac:dyDescent="0.35">
      <c r="A556" s="3" t="s">
        <v>490</v>
      </c>
      <c r="B556" s="6">
        <v>43109</v>
      </c>
      <c r="C556" s="10" t="s">
        <v>11</v>
      </c>
      <c r="D556" s="3" t="s">
        <v>27</v>
      </c>
      <c r="E556" s="4">
        <v>40.97</v>
      </c>
      <c r="F556" s="3">
        <v>49</v>
      </c>
      <c r="G556" s="3">
        <f t="shared" si="24"/>
        <v>2007.53</v>
      </c>
      <c r="H556" s="3">
        <f t="shared" si="25"/>
        <v>100.37650000000001</v>
      </c>
      <c r="I556" s="7">
        <v>8.99</v>
      </c>
      <c r="J556" s="5">
        <f t="shared" si="26"/>
        <v>1898.1634999999999</v>
      </c>
    </row>
    <row r="557" spans="1:10" x14ac:dyDescent="0.35">
      <c r="A557" s="3" t="s">
        <v>541</v>
      </c>
      <c r="B557" s="6">
        <v>43028</v>
      </c>
      <c r="C557" s="10" t="s">
        <v>11</v>
      </c>
      <c r="D557" s="3" t="s">
        <v>9</v>
      </c>
      <c r="E557" s="4">
        <v>1.48</v>
      </c>
      <c r="F557" s="3">
        <v>19</v>
      </c>
      <c r="G557" s="3">
        <f t="shared" si="24"/>
        <v>28.12</v>
      </c>
      <c r="H557" s="3">
        <f t="shared" si="25"/>
        <v>1.4060000000000001</v>
      </c>
      <c r="I557" s="7">
        <v>0.7</v>
      </c>
      <c r="J557" s="5">
        <f t="shared" si="26"/>
        <v>26.014000000000003</v>
      </c>
    </row>
    <row r="558" spans="1:10" x14ac:dyDescent="0.35">
      <c r="A558" s="3" t="s">
        <v>542</v>
      </c>
      <c r="B558" s="6">
        <v>43027</v>
      </c>
      <c r="C558" s="10" t="s">
        <v>11</v>
      </c>
      <c r="D558" s="3" t="s">
        <v>9</v>
      </c>
      <c r="E558" s="4">
        <v>5.74</v>
      </c>
      <c r="F558" s="3">
        <v>50</v>
      </c>
      <c r="G558" s="3">
        <f t="shared" si="24"/>
        <v>287</v>
      </c>
      <c r="H558" s="3">
        <f t="shared" si="25"/>
        <v>14.350000000000001</v>
      </c>
      <c r="I558" s="7">
        <v>5.01</v>
      </c>
      <c r="J558" s="5">
        <f t="shared" si="26"/>
        <v>267.64</v>
      </c>
    </row>
    <row r="559" spans="1:10" x14ac:dyDescent="0.35">
      <c r="A559" s="3" t="s">
        <v>543</v>
      </c>
      <c r="B559" s="6">
        <v>43025</v>
      </c>
      <c r="C559" s="10" t="s">
        <v>11</v>
      </c>
      <c r="D559" s="3" t="s">
        <v>9</v>
      </c>
      <c r="E559" s="4">
        <v>449.99</v>
      </c>
      <c r="F559" s="3">
        <v>40</v>
      </c>
      <c r="G559" s="3">
        <f t="shared" si="24"/>
        <v>17999.599999999999</v>
      </c>
      <c r="H559" s="3">
        <f t="shared" si="25"/>
        <v>899.98</v>
      </c>
      <c r="I559" s="7">
        <v>24.49</v>
      </c>
      <c r="J559" s="5">
        <f t="shared" si="26"/>
        <v>17075.129999999997</v>
      </c>
    </row>
    <row r="560" spans="1:10" x14ac:dyDescent="0.35">
      <c r="A560" s="3" t="s">
        <v>544</v>
      </c>
      <c r="B560" s="6">
        <v>43022</v>
      </c>
      <c r="C560" s="10" t="s">
        <v>11</v>
      </c>
      <c r="D560" s="3" t="s">
        <v>9</v>
      </c>
      <c r="E560" s="4">
        <v>3.57</v>
      </c>
      <c r="F560" s="3">
        <v>23</v>
      </c>
      <c r="G560" s="3">
        <f t="shared" si="24"/>
        <v>82.11</v>
      </c>
      <c r="H560" s="3">
        <f t="shared" si="25"/>
        <v>4.1055000000000001</v>
      </c>
      <c r="I560" s="7">
        <v>4.17</v>
      </c>
      <c r="J560" s="5">
        <f t="shared" si="26"/>
        <v>73.834499999999991</v>
      </c>
    </row>
    <row r="561" spans="1:10" x14ac:dyDescent="0.35">
      <c r="A561" s="3" t="s">
        <v>545</v>
      </c>
      <c r="B561" s="6">
        <v>43021</v>
      </c>
      <c r="C561" s="10" t="s">
        <v>11</v>
      </c>
      <c r="D561" s="3" t="s">
        <v>9</v>
      </c>
      <c r="E561" s="4">
        <v>3.58</v>
      </c>
      <c r="F561" s="3">
        <v>46</v>
      </c>
      <c r="G561" s="3">
        <f t="shared" si="24"/>
        <v>164.68</v>
      </c>
      <c r="H561" s="3">
        <f t="shared" si="25"/>
        <v>8.234</v>
      </c>
      <c r="I561" s="7">
        <v>5.47</v>
      </c>
      <c r="J561" s="5">
        <f t="shared" si="26"/>
        <v>150.976</v>
      </c>
    </row>
    <row r="562" spans="1:10" x14ac:dyDescent="0.35">
      <c r="A562" s="3" t="s">
        <v>546</v>
      </c>
      <c r="B562" s="6">
        <v>43016</v>
      </c>
      <c r="C562" s="10" t="s">
        <v>11</v>
      </c>
      <c r="D562" s="3" t="s">
        <v>9</v>
      </c>
      <c r="E562" s="4">
        <v>3.08</v>
      </c>
      <c r="F562" s="3">
        <v>38</v>
      </c>
      <c r="G562" s="3">
        <f t="shared" si="24"/>
        <v>117.04</v>
      </c>
      <c r="H562" s="3">
        <f t="shared" si="25"/>
        <v>5.8520000000000003</v>
      </c>
      <c r="I562" s="7">
        <v>0.99</v>
      </c>
      <c r="J562" s="5">
        <f t="shared" si="26"/>
        <v>110.19800000000001</v>
      </c>
    </row>
    <row r="563" spans="1:10" x14ac:dyDescent="0.35">
      <c r="A563" s="3" t="s">
        <v>547</v>
      </c>
      <c r="B563" s="6">
        <v>43014</v>
      </c>
      <c r="C563" s="10" t="s">
        <v>11</v>
      </c>
      <c r="D563" s="3" t="s">
        <v>9</v>
      </c>
      <c r="E563" s="4">
        <v>152.47999999999999</v>
      </c>
      <c r="F563" s="3">
        <v>31</v>
      </c>
      <c r="G563" s="3">
        <f t="shared" si="24"/>
        <v>4726.88</v>
      </c>
      <c r="H563" s="3">
        <f t="shared" si="25"/>
        <v>236.34400000000002</v>
      </c>
      <c r="I563" s="7">
        <v>6.5</v>
      </c>
      <c r="J563" s="5">
        <f t="shared" si="26"/>
        <v>4484.0360000000001</v>
      </c>
    </row>
    <row r="564" spans="1:10" x14ac:dyDescent="0.35">
      <c r="A564" s="3" t="s">
        <v>548</v>
      </c>
      <c r="B564" s="6">
        <v>43012</v>
      </c>
      <c r="C564" s="10" t="s">
        <v>11</v>
      </c>
      <c r="D564" s="3" t="s">
        <v>9</v>
      </c>
      <c r="E564" s="4">
        <v>30.98</v>
      </c>
      <c r="F564" s="3">
        <v>8</v>
      </c>
      <c r="G564" s="3">
        <f t="shared" si="24"/>
        <v>247.84</v>
      </c>
      <c r="H564" s="3">
        <f t="shared" si="25"/>
        <v>12.392000000000001</v>
      </c>
      <c r="I564" s="7">
        <v>6.5</v>
      </c>
      <c r="J564" s="5">
        <f t="shared" si="26"/>
        <v>228.94800000000001</v>
      </c>
    </row>
    <row r="565" spans="1:10" x14ac:dyDescent="0.35">
      <c r="A565" s="3" t="s">
        <v>549</v>
      </c>
      <c r="B565" s="6">
        <v>43010</v>
      </c>
      <c r="C565" s="10" t="s">
        <v>11</v>
      </c>
      <c r="D565" s="3" t="s">
        <v>9</v>
      </c>
      <c r="E565" s="4">
        <v>5.84</v>
      </c>
      <c r="F565" s="3">
        <v>11</v>
      </c>
      <c r="G565" s="3">
        <f t="shared" si="24"/>
        <v>64.239999999999995</v>
      </c>
      <c r="H565" s="3">
        <f t="shared" si="25"/>
        <v>3.2119999999999997</v>
      </c>
      <c r="I565" s="7">
        <v>0.83</v>
      </c>
      <c r="J565" s="5">
        <f t="shared" si="26"/>
        <v>60.197999999999993</v>
      </c>
    </row>
    <row r="566" spans="1:10" x14ac:dyDescent="0.35">
      <c r="A566" s="3" t="s">
        <v>550</v>
      </c>
      <c r="B566" s="6">
        <v>43006</v>
      </c>
      <c r="C566" s="10" t="s">
        <v>11</v>
      </c>
      <c r="D566" s="3" t="s">
        <v>27</v>
      </c>
      <c r="E566" s="4">
        <v>8.6</v>
      </c>
      <c r="F566" s="3">
        <v>23</v>
      </c>
      <c r="G566" s="3">
        <f t="shared" si="24"/>
        <v>197.79999999999998</v>
      </c>
      <c r="H566" s="3">
        <f t="shared" si="25"/>
        <v>9.89</v>
      </c>
      <c r="I566" s="7">
        <v>6.19</v>
      </c>
      <c r="J566" s="5">
        <f t="shared" si="26"/>
        <v>181.71999999999997</v>
      </c>
    </row>
    <row r="567" spans="1:10" x14ac:dyDescent="0.35">
      <c r="A567" s="3" t="s">
        <v>551</v>
      </c>
      <c r="B567" s="6">
        <v>43005</v>
      </c>
      <c r="C567" s="10" t="s">
        <v>11</v>
      </c>
      <c r="D567" s="3" t="s">
        <v>27</v>
      </c>
      <c r="E567" s="4">
        <v>8.34</v>
      </c>
      <c r="F567" s="3">
        <v>15</v>
      </c>
      <c r="G567" s="3">
        <f t="shared" si="24"/>
        <v>125.1</v>
      </c>
      <c r="H567" s="3">
        <f t="shared" si="25"/>
        <v>6.2549999999999999</v>
      </c>
      <c r="I567" s="7">
        <v>2.64</v>
      </c>
      <c r="J567" s="5">
        <f t="shared" si="26"/>
        <v>116.205</v>
      </c>
    </row>
    <row r="568" spans="1:10" x14ac:dyDescent="0.35">
      <c r="A568" s="3" t="s">
        <v>552</v>
      </c>
      <c r="B568" s="6">
        <v>43002</v>
      </c>
      <c r="C568" s="10" t="s">
        <v>11</v>
      </c>
      <c r="D568" s="3" t="s">
        <v>9</v>
      </c>
      <c r="E568" s="4">
        <v>4.76</v>
      </c>
      <c r="F568" s="3">
        <v>13</v>
      </c>
      <c r="G568" s="3">
        <f t="shared" si="24"/>
        <v>61.879999999999995</v>
      </c>
      <c r="H568" s="3">
        <f t="shared" si="25"/>
        <v>3.0939999999999999</v>
      </c>
      <c r="I568" s="7">
        <v>0.88</v>
      </c>
      <c r="J568" s="5">
        <f t="shared" si="26"/>
        <v>57.905999999999992</v>
      </c>
    </row>
    <row r="569" spans="1:10" x14ac:dyDescent="0.35">
      <c r="A569" s="3" t="s">
        <v>553</v>
      </c>
      <c r="B569" s="6">
        <v>42996</v>
      </c>
      <c r="C569" s="10" t="s">
        <v>11</v>
      </c>
      <c r="D569" s="3" t="s">
        <v>9</v>
      </c>
      <c r="E569" s="4">
        <v>20.99</v>
      </c>
      <c r="F569" s="3">
        <v>41</v>
      </c>
      <c r="G569" s="3">
        <f t="shared" si="24"/>
        <v>860.58999999999992</v>
      </c>
      <c r="H569" s="3">
        <f t="shared" si="25"/>
        <v>43.029499999999999</v>
      </c>
      <c r="I569" s="7">
        <v>4.8099999999999996</v>
      </c>
      <c r="J569" s="5">
        <f t="shared" si="26"/>
        <v>812.75049999999999</v>
      </c>
    </row>
    <row r="570" spans="1:10" x14ac:dyDescent="0.35">
      <c r="A570" s="3" t="s">
        <v>555</v>
      </c>
      <c r="B570" s="6">
        <v>42994</v>
      </c>
      <c r="C570" s="10" t="s">
        <v>11</v>
      </c>
      <c r="D570" s="3" t="s">
        <v>9</v>
      </c>
      <c r="E570" s="4">
        <v>2.62</v>
      </c>
      <c r="F570" s="3">
        <v>21</v>
      </c>
      <c r="G570" s="3">
        <f t="shared" si="24"/>
        <v>55.02</v>
      </c>
      <c r="H570" s="3">
        <f t="shared" si="25"/>
        <v>2.7510000000000003</v>
      </c>
      <c r="I570" s="7">
        <v>0.8</v>
      </c>
      <c r="J570" s="5">
        <f t="shared" si="26"/>
        <v>51.469000000000008</v>
      </c>
    </row>
    <row r="571" spans="1:10" x14ac:dyDescent="0.35">
      <c r="A571" s="3" t="s">
        <v>556</v>
      </c>
      <c r="B571" s="6">
        <v>42993</v>
      </c>
      <c r="C571" s="10" t="s">
        <v>11</v>
      </c>
      <c r="D571" s="3" t="s">
        <v>9</v>
      </c>
      <c r="E571" s="4">
        <v>3.15</v>
      </c>
      <c r="F571" s="3">
        <v>23</v>
      </c>
      <c r="G571" s="3">
        <f t="shared" si="24"/>
        <v>72.45</v>
      </c>
      <c r="H571" s="3">
        <f t="shared" si="25"/>
        <v>3.6225000000000005</v>
      </c>
      <c r="I571" s="7">
        <v>0.49</v>
      </c>
      <c r="J571" s="5">
        <f t="shared" si="26"/>
        <v>68.337500000000006</v>
      </c>
    </row>
    <row r="572" spans="1:10" x14ac:dyDescent="0.35">
      <c r="A572" s="3" t="s">
        <v>558</v>
      </c>
      <c r="B572" s="6">
        <v>42987</v>
      </c>
      <c r="C572" s="10" t="s">
        <v>11</v>
      </c>
      <c r="D572" s="3" t="s">
        <v>9</v>
      </c>
      <c r="E572" s="4">
        <v>2.08</v>
      </c>
      <c r="F572" s="3">
        <v>44</v>
      </c>
      <c r="G572" s="3">
        <f t="shared" si="24"/>
        <v>91.52000000000001</v>
      </c>
      <c r="H572" s="3">
        <f t="shared" si="25"/>
        <v>4.5760000000000005</v>
      </c>
      <c r="I572" s="7">
        <v>1.49</v>
      </c>
      <c r="J572" s="5">
        <f t="shared" si="26"/>
        <v>85.454000000000022</v>
      </c>
    </row>
    <row r="573" spans="1:10" x14ac:dyDescent="0.35">
      <c r="A573" s="3" t="s">
        <v>560</v>
      </c>
      <c r="B573" s="6">
        <v>42981</v>
      </c>
      <c r="C573" s="10" t="s">
        <v>11</v>
      </c>
      <c r="D573" s="3" t="s">
        <v>27</v>
      </c>
      <c r="E573" s="4">
        <v>2.62</v>
      </c>
      <c r="F573" s="3">
        <v>34</v>
      </c>
      <c r="G573" s="3">
        <f t="shared" si="24"/>
        <v>89.08</v>
      </c>
      <c r="H573" s="3">
        <f t="shared" si="25"/>
        <v>4.4539999999999997</v>
      </c>
      <c r="I573" s="7">
        <v>0.8</v>
      </c>
      <c r="J573" s="5">
        <f t="shared" si="26"/>
        <v>83.826000000000008</v>
      </c>
    </row>
    <row r="574" spans="1:10" x14ac:dyDescent="0.35">
      <c r="A574" s="3" t="s">
        <v>561</v>
      </c>
      <c r="B574" s="6">
        <v>42977</v>
      </c>
      <c r="C574" s="10" t="s">
        <v>11</v>
      </c>
      <c r="D574" s="3" t="s">
        <v>27</v>
      </c>
      <c r="E574" s="4">
        <v>4.76</v>
      </c>
      <c r="F574" s="3">
        <v>27</v>
      </c>
      <c r="G574" s="3">
        <f t="shared" si="24"/>
        <v>128.51999999999998</v>
      </c>
      <c r="H574" s="3">
        <f t="shared" si="25"/>
        <v>6.4259999999999993</v>
      </c>
      <c r="I574" s="7">
        <v>0.88</v>
      </c>
      <c r="J574" s="5">
        <f t="shared" si="26"/>
        <v>121.21399999999998</v>
      </c>
    </row>
    <row r="575" spans="1:10" x14ac:dyDescent="0.35">
      <c r="A575" s="3" t="s">
        <v>566</v>
      </c>
      <c r="B575" s="6">
        <v>42965</v>
      </c>
      <c r="C575" s="10" t="s">
        <v>11</v>
      </c>
      <c r="D575" s="3" t="s">
        <v>9</v>
      </c>
      <c r="E575" s="4">
        <v>5.43</v>
      </c>
      <c r="F575" s="3">
        <v>29</v>
      </c>
      <c r="G575" s="3">
        <f t="shared" si="24"/>
        <v>157.47</v>
      </c>
      <c r="H575" s="3">
        <f t="shared" si="25"/>
        <v>7.8734999999999999</v>
      </c>
      <c r="I575" s="7">
        <v>0.95</v>
      </c>
      <c r="J575" s="5">
        <f t="shared" si="26"/>
        <v>148.6465</v>
      </c>
    </row>
    <row r="576" spans="1:10" x14ac:dyDescent="0.35">
      <c r="A576" s="3" t="s">
        <v>574</v>
      </c>
      <c r="B576" s="6">
        <v>42957</v>
      </c>
      <c r="C576" s="10" t="s">
        <v>11</v>
      </c>
      <c r="D576" s="3" t="s">
        <v>9</v>
      </c>
      <c r="E576" s="4">
        <v>1.88</v>
      </c>
      <c r="F576" s="3">
        <v>1</v>
      </c>
      <c r="G576" s="3">
        <f t="shared" si="24"/>
        <v>1.88</v>
      </c>
      <c r="H576" s="3">
        <f t="shared" si="25"/>
        <v>9.4E-2</v>
      </c>
      <c r="I576" s="7">
        <v>1.49</v>
      </c>
      <c r="J576" s="5">
        <f t="shared" si="26"/>
        <v>0.29599999999999982</v>
      </c>
    </row>
    <row r="577" spans="1:10" x14ac:dyDescent="0.35">
      <c r="A577" s="3" t="s">
        <v>575</v>
      </c>
      <c r="B577" s="6">
        <v>42956</v>
      </c>
      <c r="C577" s="10" t="s">
        <v>11</v>
      </c>
      <c r="D577" s="3" t="s">
        <v>9</v>
      </c>
      <c r="E577" s="4">
        <v>8.34</v>
      </c>
      <c r="F577" s="3">
        <v>24</v>
      </c>
      <c r="G577" s="3">
        <f t="shared" si="24"/>
        <v>200.16</v>
      </c>
      <c r="H577" s="3">
        <f t="shared" si="25"/>
        <v>10.008000000000001</v>
      </c>
      <c r="I577" s="7">
        <v>2.64</v>
      </c>
      <c r="J577" s="5">
        <f t="shared" si="26"/>
        <v>187.512</v>
      </c>
    </row>
    <row r="578" spans="1:10" x14ac:dyDescent="0.35">
      <c r="A578" s="3" t="s">
        <v>579</v>
      </c>
      <c r="B578" s="6">
        <v>42952</v>
      </c>
      <c r="C578" s="10" t="s">
        <v>11</v>
      </c>
      <c r="D578" s="3" t="s">
        <v>9</v>
      </c>
      <c r="E578" s="4">
        <v>7.08</v>
      </c>
      <c r="F578" s="3">
        <v>29</v>
      </c>
      <c r="G578" s="3">
        <f t="shared" si="24"/>
        <v>205.32</v>
      </c>
      <c r="H578" s="3">
        <f t="shared" si="25"/>
        <v>10.266</v>
      </c>
      <c r="I578" s="7">
        <v>2.35</v>
      </c>
      <c r="J578" s="5">
        <f t="shared" si="26"/>
        <v>192.70400000000001</v>
      </c>
    </row>
    <row r="579" spans="1:10" x14ac:dyDescent="0.35">
      <c r="A579" s="3"/>
      <c r="B579" s="6"/>
      <c r="D579" s="3"/>
      <c r="E579" s="4"/>
      <c r="F579" s="3"/>
      <c r="G579" s="3"/>
      <c r="H579" s="3"/>
      <c r="I579" s="7"/>
      <c r="J579" s="5"/>
    </row>
    <row r="580" spans="1:10" x14ac:dyDescent="0.35">
      <c r="A580" s="3"/>
      <c r="B580" s="6"/>
      <c r="D580" s="3"/>
      <c r="E580" s="4"/>
      <c r="F580" s="3"/>
      <c r="G580" s="3"/>
      <c r="H580" s="3"/>
      <c r="I580" s="7"/>
      <c r="J580" s="5"/>
    </row>
    <row r="581" spans="1:10" x14ac:dyDescent="0.35">
      <c r="A581" s="3"/>
      <c r="B581" s="6"/>
      <c r="D581" s="3"/>
      <c r="E581" s="4"/>
      <c r="F581" s="3"/>
      <c r="G581" s="3"/>
      <c r="H581" s="3"/>
      <c r="I581" s="7"/>
      <c r="J581" s="5"/>
    </row>
    <row r="582" spans="1:10" x14ac:dyDescent="0.35">
      <c r="A582" s="3"/>
      <c r="B582" s="6"/>
      <c r="D582" s="3"/>
      <c r="E582" s="4"/>
      <c r="F582" s="3"/>
      <c r="G582" s="3"/>
      <c r="H582" s="3"/>
      <c r="I582" s="7"/>
      <c r="J582" s="5"/>
    </row>
    <row r="583" spans="1:10" x14ac:dyDescent="0.35">
      <c r="A583" s="3"/>
      <c r="B583" s="6"/>
      <c r="D583" s="3"/>
      <c r="E583" s="4"/>
      <c r="F583" s="3"/>
      <c r="G583" s="3"/>
      <c r="H583" s="3"/>
      <c r="I583" s="7"/>
      <c r="J583" s="5"/>
    </row>
    <row r="584" spans="1:10" x14ac:dyDescent="0.35">
      <c r="A584" s="3"/>
      <c r="B584" s="6"/>
      <c r="D584" s="3"/>
      <c r="E584" s="4"/>
      <c r="F584" s="3"/>
      <c r="G584" s="3"/>
      <c r="H584" s="3"/>
      <c r="I584" s="7"/>
      <c r="J584" s="5"/>
    </row>
    <row r="585" spans="1:10" x14ac:dyDescent="0.35">
      <c r="A585" s="3"/>
      <c r="B585" s="6"/>
      <c r="D585" s="3"/>
      <c r="E585" s="4"/>
      <c r="F585" s="3"/>
      <c r="G585" s="3"/>
      <c r="H585" s="3"/>
      <c r="I585" s="7"/>
      <c r="J585" s="5"/>
    </row>
    <row r="586" spans="1:10" x14ac:dyDescent="0.35">
      <c r="A586" s="3"/>
      <c r="B586" s="6"/>
      <c r="D586" s="3"/>
      <c r="E586" s="4"/>
      <c r="F586" s="3"/>
      <c r="G586" s="3"/>
      <c r="H586" s="3"/>
      <c r="I586" s="7"/>
      <c r="J586" s="5"/>
    </row>
    <row r="587" spans="1:10" x14ac:dyDescent="0.35">
      <c r="A587" s="3"/>
      <c r="B587" s="6"/>
      <c r="D587" s="3"/>
      <c r="E587" s="4"/>
      <c r="F587" s="3"/>
      <c r="G587" s="3"/>
      <c r="H587" s="3"/>
      <c r="I587" s="7"/>
      <c r="J587" s="5"/>
    </row>
    <row r="588" spans="1:10" x14ac:dyDescent="0.35">
      <c r="A588" s="3"/>
      <c r="B588" s="6"/>
      <c r="D588" s="3"/>
      <c r="E588" s="4"/>
      <c r="F588" s="3"/>
      <c r="G588" s="3"/>
      <c r="H588" s="3"/>
      <c r="I588" s="7"/>
      <c r="J588" s="5"/>
    </row>
    <row r="589" spans="1:10" x14ac:dyDescent="0.35">
      <c r="A589" s="3"/>
      <c r="B589" s="6"/>
      <c r="D589" s="3"/>
      <c r="E589" s="4"/>
      <c r="F589" s="3"/>
      <c r="G589" s="3"/>
      <c r="H589" s="3"/>
      <c r="I589" s="7"/>
      <c r="J589" s="5"/>
    </row>
    <row r="590" spans="1:10" x14ac:dyDescent="0.35">
      <c r="A590" s="3"/>
      <c r="B590" s="6"/>
      <c r="D590" s="3"/>
      <c r="E590" s="4"/>
      <c r="F590" s="3"/>
      <c r="G590" s="3"/>
      <c r="H590" s="3"/>
      <c r="I590" s="7"/>
      <c r="J590" s="5"/>
    </row>
    <row r="591" spans="1:10" x14ac:dyDescent="0.35">
      <c r="A591" s="3"/>
      <c r="B591" s="6"/>
      <c r="D591" s="3"/>
      <c r="E591" s="4"/>
      <c r="F591" s="3"/>
      <c r="G591" s="3"/>
      <c r="H591" s="3"/>
      <c r="I591" s="7"/>
      <c r="J591" s="5"/>
    </row>
    <row r="592" spans="1:10" x14ac:dyDescent="0.35">
      <c r="A592" s="3"/>
      <c r="B592" s="6"/>
      <c r="D592" s="3"/>
      <c r="E592" s="4"/>
      <c r="F592" s="3"/>
      <c r="G592" s="3"/>
      <c r="H592" s="3"/>
      <c r="I592" s="7"/>
      <c r="J592" s="5"/>
    </row>
    <row r="593" spans="1:10" x14ac:dyDescent="0.35">
      <c r="A593" s="3"/>
      <c r="B593" s="6"/>
      <c r="D593" s="3"/>
      <c r="E593" s="4"/>
      <c r="F593" s="3"/>
      <c r="G593" s="3"/>
      <c r="H593" s="3"/>
      <c r="I593" s="7"/>
      <c r="J593" s="5"/>
    </row>
    <row r="594" spans="1:10" x14ac:dyDescent="0.35">
      <c r="A594" s="3"/>
      <c r="B594" s="6"/>
      <c r="D594" s="3"/>
      <c r="E594" s="4"/>
      <c r="F594" s="3"/>
      <c r="G594" s="3"/>
      <c r="H594" s="3"/>
      <c r="I594" s="7"/>
      <c r="J594" s="5"/>
    </row>
    <row r="595" spans="1:10" x14ac:dyDescent="0.35">
      <c r="A595" s="3"/>
      <c r="B595" s="6"/>
      <c r="D595" s="3"/>
      <c r="E595" s="4"/>
      <c r="F595" s="3"/>
      <c r="G595" s="3"/>
      <c r="H595" s="3"/>
      <c r="I595" s="7"/>
      <c r="J595" s="5"/>
    </row>
    <row r="596" spans="1:10" x14ac:dyDescent="0.35">
      <c r="A596" s="3"/>
      <c r="B596" s="6"/>
      <c r="D596" s="3"/>
      <c r="E596" s="4"/>
      <c r="F596" s="3"/>
      <c r="G596" s="3"/>
      <c r="H596" s="3"/>
      <c r="I596" s="7"/>
      <c r="J596" s="5"/>
    </row>
    <row r="597" spans="1:10" x14ac:dyDescent="0.35">
      <c r="A597" s="3"/>
      <c r="B597" s="6"/>
      <c r="D597" s="3"/>
      <c r="E597" s="4"/>
      <c r="F597" s="3"/>
      <c r="G597" s="3"/>
      <c r="H597" s="3"/>
      <c r="I597" s="7"/>
      <c r="J597" s="5"/>
    </row>
    <row r="598" spans="1:10" x14ac:dyDescent="0.35">
      <c r="A598" s="3"/>
      <c r="B598" s="6"/>
      <c r="D598" s="3"/>
      <c r="E598" s="4"/>
      <c r="F598" s="3"/>
      <c r="G598" s="3"/>
      <c r="H598" s="3"/>
      <c r="I598" s="7"/>
      <c r="J598" s="5"/>
    </row>
    <row r="599" spans="1:10" x14ac:dyDescent="0.35">
      <c r="A599" s="3"/>
      <c r="B599" s="6"/>
      <c r="D599" s="3"/>
      <c r="E599" s="4"/>
      <c r="F599" s="3"/>
      <c r="G599" s="3"/>
      <c r="H599" s="3"/>
      <c r="I599" s="7"/>
      <c r="J599" s="5"/>
    </row>
    <row r="600" spans="1:10" x14ac:dyDescent="0.35">
      <c r="A600" s="3"/>
      <c r="B600" s="6"/>
      <c r="D600" s="3"/>
      <c r="E600" s="4"/>
      <c r="F600" s="3"/>
      <c r="G600" s="3"/>
      <c r="H600" s="3"/>
      <c r="I600" s="7"/>
      <c r="J600" s="5"/>
    </row>
    <row r="601" spans="1:10" x14ac:dyDescent="0.35">
      <c r="A601" s="3"/>
      <c r="B601" s="6"/>
      <c r="D601" s="3"/>
      <c r="E601" s="4"/>
      <c r="F601" s="3"/>
      <c r="G601" s="3"/>
      <c r="H601" s="3"/>
      <c r="I601" s="7"/>
      <c r="J601" s="5"/>
    </row>
    <row r="602" spans="1:10" x14ac:dyDescent="0.35">
      <c r="B602" s="6"/>
      <c r="D602" s="3"/>
      <c r="E602" s="4"/>
      <c r="F602" s="3"/>
      <c r="G602" s="3"/>
      <c r="H602" s="3"/>
      <c r="I602" s="7"/>
      <c r="J602" s="5"/>
    </row>
    <row r="603" spans="1:10" x14ac:dyDescent="0.35">
      <c r="B603" s="6"/>
      <c r="D603" s="3"/>
      <c r="E603" s="4"/>
      <c r="F603" s="3"/>
      <c r="G603" s="3"/>
      <c r="H603" s="3"/>
      <c r="I603" s="7"/>
      <c r="J603" s="5"/>
    </row>
    <row r="604" spans="1:10" x14ac:dyDescent="0.35">
      <c r="B604" s="6"/>
      <c r="D604" s="3"/>
      <c r="E604" s="4"/>
      <c r="F604" s="3"/>
      <c r="G604" s="3"/>
      <c r="H604" s="3"/>
      <c r="I604" s="7"/>
      <c r="J604" s="5"/>
    </row>
    <row r="605" spans="1:10" x14ac:dyDescent="0.35">
      <c r="B605" s="6"/>
      <c r="D605" s="3"/>
      <c r="E605" s="4"/>
      <c r="F605" s="3"/>
      <c r="G605" s="3"/>
      <c r="H605" s="3"/>
      <c r="I605" s="7"/>
      <c r="J605" s="5"/>
    </row>
    <row r="606" spans="1:10" x14ac:dyDescent="0.35">
      <c r="B606" s="6"/>
      <c r="D606" s="3"/>
      <c r="E606" s="4"/>
      <c r="F606" s="3"/>
      <c r="G606" s="3"/>
      <c r="H606" s="3"/>
      <c r="I606" s="7"/>
      <c r="J606" s="5"/>
    </row>
    <row r="607" spans="1:10" x14ac:dyDescent="0.35">
      <c r="B607" s="6"/>
      <c r="D607" s="3"/>
      <c r="E607" s="4"/>
      <c r="F607" s="3"/>
      <c r="G607" s="3"/>
      <c r="H607" s="3"/>
      <c r="I607" s="7"/>
      <c r="J607" s="5"/>
    </row>
    <row r="608" spans="1:10" x14ac:dyDescent="0.35">
      <c r="B608" s="6"/>
      <c r="D608" s="3"/>
      <c r="E608" s="4"/>
      <c r="F608" s="3"/>
      <c r="G608" s="3"/>
      <c r="H608" s="3"/>
      <c r="I608" s="7"/>
      <c r="J608" s="5"/>
    </row>
    <row r="609" spans="2:10" x14ac:dyDescent="0.35">
      <c r="B609" s="6"/>
      <c r="D609" s="3"/>
      <c r="E609" s="4"/>
      <c r="F609" s="3"/>
      <c r="G609" s="3"/>
      <c r="H609" s="3"/>
      <c r="I609" s="7"/>
      <c r="J609" s="5"/>
    </row>
    <row r="610" spans="2:10" x14ac:dyDescent="0.35">
      <c r="B610" s="6"/>
      <c r="D610" s="3"/>
      <c r="E610" s="4"/>
      <c r="F610" s="3"/>
      <c r="G610" s="3"/>
      <c r="H610" s="3"/>
      <c r="I610" s="7"/>
      <c r="J610" s="5"/>
    </row>
    <row r="611" spans="2:10" x14ac:dyDescent="0.35">
      <c r="B611" s="6"/>
      <c r="D611" s="3"/>
      <c r="E611" s="4"/>
      <c r="F611" s="3"/>
      <c r="G611" s="3"/>
      <c r="H611" s="3"/>
      <c r="I611" s="7"/>
      <c r="J611" s="5"/>
    </row>
    <row r="612" spans="2:10" x14ac:dyDescent="0.35">
      <c r="B612" s="6"/>
      <c r="D612" s="3"/>
      <c r="E612" s="4"/>
      <c r="F612" s="3"/>
      <c r="G612" s="3"/>
      <c r="H612" s="3"/>
      <c r="I612" s="7"/>
      <c r="J612" s="5"/>
    </row>
    <row r="613" spans="2:10" x14ac:dyDescent="0.35">
      <c r="B613" s="6"/>
      <c r="D613" s="3"/>
      <c r="E613" s="4"/>
      <c r="F613" s="3"/>
      <c r="G613" s="3"/>
      <c r="H613" s="3"/>
      <c r="I613" s="7"/>
      <c r="J613" s="5"/>
    </row>
    <row r="614" spans="2:10" x14ac:dyDescent="0.35">
      <c r="B614" s="6"/>
      <c r="D614" s="3"/>
      <c r="E614" s="4"/>
      <c r="F614" s="3"/>
      <c r="G614" s="3"/>
      <c r="H614" s="3"/>
      <c r="I614" s="7"/>
      <c r="J614" s="5"/>
    </row>
    <row r="615" spans="2:10" x14ac:dyDescent="0.35">
      <c r="B615" s="6"/>
      <c r="D615" s="3"/>
      <c r="E615" s="4"/>
      <c r="F615" s="3"/>
      <c r="G615" s="3"/>
      <c r="H615" s="3"/>
      <c r="I615" s="7"/>
      <c r="J615" s="5"/>
    </row>
    <row r="616" spans="2:10" x14ac:dyDescent="0.35">
      <c r="B616" s="6"/>
      <c r="D616" s="3"/>
      <c r="E616" s="4"/>
      <c r="F616" s="3"/>
      <c r="G616" s="3"/>
      <c r="H616" s="3"/>
      <c r="I616" s="7"/>
      <c r="J616" s="5"/>
    </row>
    <row r="617" spans="2:10" x14ac:dyDescent="0.35">
      <c r="B617" s="6"/>
      <c r="D617" s="3"/>
      <c r="E617" s="4"/>
      <c r="F617" s="3"/>
      <c r="G617" s="3"/>
      <c r="H617" s="3"/>
      <c r="I617" s="7"/>
      <c r="J617" s="5"/>
    </row>
  </sheetData>
  <sortState xmlns:xlrd2="http://schemas.microsoft.com/office/spreadsheetml/2017/richdata2" ref="A3:J578">
    <sortCondition ref="C3"/>
  </sortState>
  <printOptions horizontalCentered="1"/>
  <pageMargins left="0.25" right="0.25" top="0.75" bottom="0.75" header="0.3" footer="0.3"/>
  <pageSetup paperSize="9" scale="85" fitToHeight="0" orientation="landscape" r:id="rId1"/>
  <rowBreaks count="4" manualBreakCount="4">
    <brk id="111" max="16383" man="1"/>
    <brk id="200" max="16383" man="1"/>
    <brk id="351" max="16383" man="1"/>
    <brk id="4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Practice</vt:lpstr>
      <vt:lpstr>Solution</vt:lpstr>
      <vt:lpstr>Solution!Print_Titles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cp:lastPrinted>2020-07-22T15:58:58Z</cp:lastPrinted>
  <dcterms:created xsi:type="dcterms:W3CDTF">2020-04-15T10:49:11Z</dcterms:created>
  <dcterms:modified xsi:type="dcterms:W3CDTF">2020-07-23T13:27:55Z</dcterms:modified>
</cp:coreProperties>
</file>