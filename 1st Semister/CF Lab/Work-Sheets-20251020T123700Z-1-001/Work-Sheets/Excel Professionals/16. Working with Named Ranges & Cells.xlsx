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10 Minute School\50 Workbooks\Microsoft Excel Professionals - 25 Workbooks\"/>
    </mc:Choice>
  </mc:AlternateContent>
  <xr:revisionPtr revIDLastSave="0" documentId="13_ncr:1_{FB1E0F13-CD32-4AA0-8BE3-49013A5BC49E}" xr6:coauthVersionLast="45" xr6:coauthVersionMax="45" xr10:uidLastSave="{00000000-0000-0000-0000-000000000000}"/>
  <bookViews>
    <workbookView xWindow="-110" yWindow="-110" windowWidth="19420" windowHeight="10420" xr2:uid="{858A62D9-1599-4210-9775-AAAC6E0CE55F}"/>
  </bookViews>
  <sheets>
    <sheet name="Practice" sheetId="3" r:id="rId1"/>
    <sheet name="Solution" sheetId="4" r:id="rId2"/>
  </sheets>
  <definedNames>
    <definedName name="Commision" localSheetId="1">Solution!$H$3</definedName>
    <definedName name="Sales_Officer" localSheetId="1">Solution!$A$3:$A$202</definedName>
    <definedName name="Sales_Revenue_2019" localSheetId="1">Solution!$B$3:$B$202</definedName>
    <definedName name="Tax" localSheetId="1">Solution!$H$6</definedName>
    <definedName name="Tax_Payable_2019" localSheetId="1">Solution!$D$3:$D$202</definedName>
    <definedName name="Total_Commision_2019" localSheetId="1">Solution!$C$3:$C$202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" i="4" l="1"/>
  <c r="C4" i="4"/>
  <c r="D4" i="4"/>
  <c r="C5" i="4"/>
  <c r="D5" i="4"/>
  <c r="C6" i="4"/>
  <c r="D6" i="4"/>
  <c r="C7" i="4"/>
  <c r="D7" i="4"/>
  <c r="C8" i="4"/>
  <c r="D8" i="4"/>
  <c r="C9" i="4"/>
  <c r="D9" i="4"/>
  <c r="C10" i="4"/>
  <c r="D10" i="4"/>
  <c r="C11" i="4"/>
  <c r="D11" i="4"/>
  <c r="C12" i="4"/>
  <c r="D12" i="4"/>
  <c r="C13" i="4"/>
  <c r="D13" i="4"/>
  <c r="C14" i="4"/>
  <c r="D14" i="4"/>
  <c r="C15" i="4"/>
  <c r="D15" i="4"/>
  <c r="C16" i="4"/>
  <c r="D16" i="4"/>
  <c r="C17" i="4"/>
  <c r="D17" i="4"/>
  <c r="C18" i="4"/>
  <c r="D18" i="4"/>
  <c r="C19" i="4"/>
  <c r="D19" i="4"/>
  <c r="C20" i="4"/>
  <c r="D20" i="4"/>
  <c r="C21" i="4"/>
  <c r="D21" i="4"/>
  <c r="C22" i="4"/>
  <c r="D22" i="4"/>
  <c r="C23" i="4"/>
  <c r="D23" i="4"/>
  <c r="C24" i="4"/>
  <c r="D24" i="4"/>
  <c r="C25" i="4"/>
  <c r="D25" i="4"/>
  <c r="C26" i="4"/>
  <c r="D26" i="4"/>
  <c r="C27" i="4"/>
  <c r="D27" i="4"/>
  <c r="C28" i="4"/>
  <c r="D28" i="4"/>
  <c r="C29" i="4"/>
  <c r="D29" i="4"/>
  <c r="C30" i="4"/>
  <c r="D30" i="4"/>
  <c r="C31" i="4"/>
  <c r="D31" i="4"/>
  <c r="C32" i="4"/>
  <c r="D32" i="4"/>
  <c r="C33" i="4"/>
  <c r="D33" i="4"/>
  <c r="C34" i="4"/>
  <c r="D34" i="4"/>
  <c r="C35" i="4"/>
  <c r="D35" i="4"/>
  <c r="C36" i="4"/>
  <c r="D36" i="4"/>
  <c r="C37" i="4"/>
  <c r="D37" i="4"/>
  <c r="C38" i="4"/>
  <c r="D38" i="4"/>
  <c r="C39" i="4"/>
  <c r="D39" i="4"/>
  <c r="C40" i="4"/>
  <c r="D40" i="4"/>
  <c r="C41" i="4"/>
  <c r="D41" i="4"/>
  <c r="C42" i="4"/>
  <c r="D42" i="4"/>
  <c r="C43" i="4"/>
  <c r="D43" i="4"/>
  <c r="C44" i="4"/>
  <c r="D44" i="4"/>
  <c r="C45" i="4"/>
  <c r="D45" i="4"/>
  <c r="C46" i="4"/>
  <c r="D46" i="4"/>
  <c r="C47" i="4"/>
  <c r="D47" i="4"/>
  <c r="C48" i="4"/>
  <c r="D48" i="4"/>
  <c r="C49" i="4"/>
  <c r="D49" i="4"/>
  <c r="C50" i="4"/>
  <c r="D50" i="4"/>
  <c r="C51" i="4"/>
  <c r="D51" i="4"/>
  <c r="C52" i="4"/>
  <c r="D52" i="4"/>
  <c r="C53" i="4"/>
  <c r="D53" i="4"/>
  <c r="C54" i="4"/>
  <c r="D54" i="4"/>
  <c r="C55" i="4"/>
  <c r="D55" i="4"/>
  <c r="C56" i="4"/>
  <c r="D56" i="4"/>
  <c r="C57" i="4"/>
  <c r="D57" i="4"/>
  <c r="C58" i="4"/>
  <c r="D58" i="4"/>
  <c r="C59" i="4"/>
  <c r="D59" i="4"/>
  <c r="C60" i="4"/>
  <c r="D60" i="4"/>
  <c r="C61" i="4"/>
  <c r="D61" i="4"/>
  <c r="C62" i="4"/>
  <c r="D62" i="4"/>
  <c r="C63" i="4"/>
  <c r="D63" i="4"/>
  <c r="C64" i="4"/>
  <c r="D64" i="4"/>
  <c r="C65" i="4"/>
  <c r="D65" i="4"/>
  <c r="C66" i="4"/>
  <c r="D66" i="4"/>
  <c r="C67" i="4"/>
  <c r="D67" i="4"/>
  <c r="C68" i="4"/>
  <c r="D68" i="4"/>
  <c r="C69" i="4"/>
  <c r="D69" i="4"/>
  <c r="C70" i="4"/>
  <c r="D70" i="4"/>
  <c r="C71" i="4"/>
  <c r="D71" i="4"/>
  <c r="C72" i="4"/>
  <c r="D72" i="4"/>
  <c r="C73" i="4"/>
  <c r="D73" i="4"/>
  <c r="C74" i="4"/>
  <c r="D74" i="4"/>
  <c r="C75" i="4"/>
  <c r="D75" i="4"/>
  <c r="C76" i="4"/>
  <c r="D76" i="4"/>
  <c r="C77" i="4"/>
  <c r="D77" i="4"/>
  <c r="C78" i="4"/>
  <c r="D78" i="4"/>
  <c r="C79" i="4"/>
  <c r="D79" i="4"/>
  <c r="C80" i="4"/>
  <c r="D80" i="4"/>
  <c r="C81" i="4"/>
  <c r="D81" i="4"/>
  <c r="C82" i="4"/>
  <c r="D82" i="4"/>
  <c r="C83" i="4"/>
  <c r="D83" i="4"/>
  <c r="C84" i="4"/>
  <c r="D84" i="4"/>
  <c r="C85" i="4"/>
  <c r="D85" i="4"/>
  <c r="C86" i="4"/>
  <c r="D86" i="4"/>
  <c r="C87" i="4"/>
  <c r="D87" i="4"/>
  <c r="C88" i="4"/>
  <c r="D88" i="4"/>
  <c r="C89" i="4"/>
  <c r="D89" i="4"/>
  <c r="C90" i="4"/>
  <c r="D90" i="4"/>
  <c r="C91" i="4"/>
  <c r="D91" i="4"/>
  <c r="C92" i="4"/>
  <c r="D92" i="4"/>
  <c r="C93" i="4"/>
  <c r="D93" i="4"/>
  <c r="C94" i="4"/>
  <c r="D94" i="4"/>
  <c r="C95" i="4"/>
  <c r="D95" i="4"/>
  <c r="C96" i="4"/>
  <c r="D96" i="4"/>
  <c r="C97" i="4"/>
  <c r="D97" i="4"/>
  <c r="C98" i="4"/>
  <c r="D98" i="4"/>
  <c r="C99" i="4"/>
  <c r="D99" i="4"/>
  <c r="C100" i="4"/>
  <c r="D100" i="4"/>
  <c r="C101" i="4"/>
  <c r="D101" i="4"/>
  <c r="C102" i="4"/>
  <c r="D102" i="4"/>
  <c r="C103" i="4"/>
  <c r="D103" i="4"/>
  <c r="C104" i="4"/>
  <c r="D104" i="4"/>
  <c r="C105" i="4"/>
  <c r="D105" i="4"/>
  <c r="C106" i="4"/>
  <c r="D106" i="4"/>
  <c r="C107" i="4"/>
  <c r="D107" i="4"/>
  <c r="C108" i="4"/>
  <c r="D108" i="4"/>
  <c r="C109" i="4"/>
  <c r="D109" i="4"/>
  <c r="C110" i="4"/>
  <c r="D110" i="4"/>
  <c r="C111" i="4"/>
  <c r="D111" i="4"/>
  <c r="C112" i="4"/>
  <c r="D112" i="4"/>
  <c r="C113" i="4"/>
  <c r="D113" i="4"/>
  <c r="C114" i="4"/>
  <c r="D114" i="4"/>
  <c r="C115" i="4"/>
  <c r="D115" i="4"/>
  <c r="C116" i="4"/>
  <c r="D116" i="4"/>
  <c r="C117" i="4"/>
  <c r="D117" i="4"/>
  <c r="C118" i="4"/>
  <c r="D118" i="4"/>
  <c r="C119" i="4"/>
  <c r="D119" i="4"/>
  <c r="C120" i="4"/>
  <c r="D120" i="4"/>
  <c r="C121" i="4"/>
  <c r="D121" i="4"/>
  <c r="C122" i="4"/>
  <c r="D122" i="4"/>
  <c r="C123" i="4"/>
  <c r="D123" i="4"/>
  <c r="C124" i="4"/>
  <c r="D124" i="4"/>
  <c r="C125" i="4"/>
  <c r="D125" i="4"/>
  <c r="C126" i="4"/>
  <c r="D126" i="4"/>
  <c r="C127" i="4"/>
  <c r="D127" i="4"/>
  <c r="C128" i="4"/>
  <c r="D128" i="4"/>
  <c r="C129" i="4"/>
  <c r="D129" i="4"/>
  <c r="C130" i="4"/>
  <c r="D130" i="4"/>
  <c r="C131" i="4"/>
  <c r="D131" i="4"/>
  <c r="C132" i="4"/>
  <c r="D132" i="4"/>
  <c r="C133" i="4"/>
  <c r="D133" i="4"/>
  <c r="C134" i="4"/>
  <c r="D134" i="4"/>
  <c r="C135" i="4"/>
  <c r="D135" i="4"/>
  <c r="C136" i="4"/>
  <c r="D136" i="4"/>
  <c r="C137" i="4"/>
  <c r="D137" i="4"/>
  <c r="C138" i="4"/>
  <c r="D138" i="4"/>
  <c r="C139" i="4"/>
  <c r="D139" i="4"/>
  <c r="C140" i="4"/>
  <c r="D140" i="4"/>
  <c r="C141" i="4"/>
  <c r="D141" i="4"/>
  <c r="C142" i="4"/>
  <c r="D142" i="4"/>
  <c r="C143" i="4"/>
  <c r="D143" i="4"/>
  <c r="C144" i="4"/>
  <c r="D144" i="4"/>
  <c r="C145" i="4"/>
  <c r="D145" i="4"/>
  <c r="C146" i="4"/>
  <c r="D146" i="4"/>
  <c r="C147" i="4"/>
  <c r="D147" i="4"/>
  <c r="C148" i="4"/>
  <c r="D148" i="4"/>
  <c r="C149" i="4"/>
  <c r="D149" i="4"/>
  <c r="C150" i="4"/>
  <c r="D150" i="4"/>
  <c r="C151" i="4"/>
  <c r="D151" i="4"/>
  <c r="C152" i="4"/>
  <c r="D152" i="4"/>
  <c r="C153" i="4"/>
  <c r="D153" i="4"/>
  <c r="C154" i="4"/>
  <c r="D154" i="4"/>
  <c r="C155" i="4"/>
  <c r="D155" i="4"/>
  <c r="C156" i="4"/>
  <c r="D156" i="4"/>
  <c r="C157" i="4"/>
  <c r="D157" i="4"/>
  <c r="C158" i="4"/>
  <c r="D158" i="4"/>
  <c r="C159" i="4"/>
  <c r="D159" i="4"/>
  <c r="C160" i="4"/>
  <c r="D160" i="4"/>
  <c r="C161" i="4"/>
  <c r="D161" i="4"/>
  <c r="C162" i="4"/>
  <c r="D162" i="4"/>
  <c r="C163" i="4"/>
  <c r="D163" i="4"/>
  <c r="C164" i="4"/>
  <c r="D164" i="4"/>
  <c r="C165" i="4"/>
  <c r="D165" i="4"/>
  <c r="C166" i="4"/>
  <c r="D166" i="4"/>
  <c r="C167" i="4"/>
  <c r="D167" i="4"/>
  <c r="C168" i="4"/>
  <c r="D168" i="4"/>
  <c r="C169" i="4"/>
  <c r="D169" i="4"/>
  <c r="C170" i="4"/>
  <c r="D170" i="4"/>
  <c r="C171" i="4"/>
  <c r="D171" i="4"/>
  <c r="C172" i="4"/>
  <c r="D172" i="4"/>
  <c r="C173" i="4"/>
  <c r="D173" i="4"/>
  <c r="C174" i="4"/>
  <c r="D174" i="4"/>
  <c r="C175" i="4"/>
  <c r="D175" i="4"/>
  <c r="C176" i="4"/>
  <c r="D176" i="4"/>
  <c r="C177" i="4"/>
  <c r="D177" i="4"/>
  <c r="C178" i="4"/>
  <c r="D178" i="4"/>
  <c r="C179" i="4"/>
  <c r="D179" i="4"/>
  <c r="C180" i="4"/>
  <c r="D180" i="4"/>
  <c r="C181" i="4"/>
  <c r="D181" i="4"/>
  <c r="C182" i="4"/>
  <c r="D182" i="4"/>
  <c r="C183" i="4"/>
  <c r="D183" i="4"/>
  <c r="C184" i="4"/>
  <c r="D184" i="4"/>
  <c r="C185" i="4"/>
  <c r="D185" i="4"/>
  <c r="C186" i="4"/>
  <c r="D186" i="4"/>
  <c r="C187" i="4"/>
  <c r="D187" i="4"/>
  <c r="C188" i="4"/>
  <c r="D188" i="4"/>
  <c r="C189" i="4"/>
  <c r="D189" i="4"/>
  <c r="C190" i="4"/>
  <c r="D190" i="4"/>
  <c r="C191" i="4"/>
  <c r="D191" i="4"/>
  <c r="C192" i="4"/>
  <c r="D192" i="4"/>
  <c r="C193" i="4"/>
  <c r="D193" i="4"/>
  <c r="C194" i="4"/>
  <c r="D194" i="4"/>
  <c r="C195" i="4"/>
  <c r="D195" i="4"/>
  <c r="C196" i="4"/>
  <c r="D196" i="4"/>
  <c r="C197" i="4"/>
  <c r="D197" i="4"/>
  <c r="C198" i="4"/>
  <c r="D198" i="4"/>
  <c r="C199" i="4"/>
  <c r="D199" i="4"/>
  <c r="C200" i="4"/>
  <c r="D200" i="4"/>
  <c r="C201" i="4"/>
  <c r="D201" i="4"/>
  <c r="C202" i="4"/>
  <c r="D202" i="4"/>
  <c r="D3" i="4"/>
  <c r="F9" i="4" s="1"/>
  <c r="C3" i="4"/>
  <c r="F6" i="4" s="1"/>
</calcChain>
</file>

<file path=xl/sharedStrings.xml><?xml version="1.0" encoding="utf-8"?>
<sst xmlns="http://schemas.openxmlformats.org/spreadsheetml/2006/main" count="420" uniqueCount="210">
  <si>
    <t>Company XYZ</t>
  </si>
  <si>
    <t>Sales Officer</t>
  </si>
  <si>
    <t>Sales Officer 1</t>
  </si>
  <si>
    <t>Sales Officer 2</t>
  </si>
  <si>
    <t>Sales Officer 3</t>
  </si>
  <si>
    <t>Sales Officer 4</t>
  </si>
  <si>
    <t>Sales Officer 5</t>
  </si>
  <si>
    <t>Sales Officer 6</t>
  </si>
  <si>
    <t>Sales Officer 7</t>
  </si>
  <si>
    <t>Sales Officer 8</t>
  </si>
  <si>
    <t>Sales Officer 9</t>
  </si>
  <si>
    <t>Sales Officer 10</t>
  </si>
  <si>
    <t>Sales Officer 11</t>
  </si>
  <si>
    <t>Sales Officer 12</t>
  </si>
  <si>
    <t>Sales Officer 200</t>
  </si>
  <si>
    <t>Sales Officer 199</t>
  </si>
  <si>
    <t>Sales Officer 198</t>
  </si>
  <si>
    <t>Sales Officer 197</t>
  </si>
  <si>
    <t>Sales Officer 196</t>
  </si>
  <si>
    <t>Sales Officer 195</t>
  </si>
  <si>
    <t>Sales Officer 194</t>
  </si>
  <si>
    <t>Sales Officer 193</t>
  </si>
  <si>
    <t>Sales Officer 192</t>
  </si>
  <si>
    <t>Sales Officer 191</t>
  </si>
  <si>
    <t>Sales Officer 190</t>
  </si>
  <si>
    <t>Sales Officer 189</t>
  </si>
  <si>
    <t>Sales Officer 188</t>
  </si>
  <si>
    <t>Sales Officer 187</t>
  </si>
  <si>
    <t>Sales Officer 186</t>
  </si>
  <si>
    <t>Sales Officer 185</t>
  </si>
  <si>
    <t>Sales Officer 184</t>
  </si>
  <si>
    <t>Sales Officer 183</t>
  </si>
  <si>
    <t>Sales Officer 182</t>
  </si>
  <si>
    <t>Sales Officer 181</t>
  </si>
  <si>
    <t>Sales Officer 180</t>
  </si>
  <si>
    <t>Sales Officer 179</t>
  </si>
  <si>
    <t>Sales Officer 178</t>
  </si>
  <si>
    <t>Sales Officer 177</t>
  </si>
  <si>
    <t>Sales Officer 176</t>
  </si>
  <si>
    <t>Sales Officer 175</t>
  </si>
  <si>
    <t>Sales Officer 174</t>
  </si>
  <si>
    <t>Sales Officer 173</t>
  </si>
  <si>
    <t>Sales Officer 172</t>
  </si>
  <si>
    <t>Sales Officer 171</t>
  </si>
  <si>
    <t>Sales Officer 170</t>
  </si>
  <si>
    <t>Sales Officer 169</t>
  </si>
  <si>
    <t>Sales Officer 168</t>
  </si>
  <si>
    <t>Sales Officer 167</t>
  </si>
  <si>
    <t>Sales Officer 166</t>
  </si>
  <si>
    <t>Sales Officer 165</t>
  </si>
  <si>
    <t>Sales Officer 164</t>
  </si>
  <si>
    <t>Sales Officer 163</t>
  </si>
  <si>
    <t>Sales Officer 162</t>
  </si>
  <si>
    <t>Sales Officer 161</t>
  </si>
  <si>
    <t>Sales Officer 160</t>
  </si>
  <si>
    <t>Sales Officer 159</t>
  </si>
  <si>
    <t>Sales Officer 158</t>
  </si>
  <si>
    <t>Sales Officer 157</t>
  </si>
  <si>
    <t>Sales Officer 156</t>
  </si>
  <si>
    <t>Sales Officer 155</t>
  </si>
  <si>
    <t>Sales Officer 154</t>
  </si>
  <si>
    <t>Sales Officer 153</t>
  </si>
  <si>
    <t>Sales Officer 152</t>
  </si>
  <si>
    <t>Sales Officer 151</t>
  </si>
  <si>
    <t>Sales Officer 150</t>
  </si>
  <si>
    <t>Sales Officer 149</t>
  </si>
  <si>
    <t>Sales Officer 148</t>
  </si>
  <si>
    <t>Sales Officer 147</t>
  </si>
  <si>
    <t>Sales Officer 146</t>
  </si>
  <si>
    <t>Sales Officer 145</t>
  </si>
  <si>
    <t>Sales Officer 144</t>
  </si>
  <si>
    <t>Sales Officer 143</t>
  </si>
  <si>
    <t>Sales Officer 142</t>
  </si>
  <si>
    <t>Sales Officer 141</t>
  </si>
  <si>
    <t>Sales Officer 140</t>
  </si>
  <si>
    <t>Sales Officer 139</t>
  </si>
  <si>
    <t>Sales Officer 138</t>
  </si>
  <si>
    <t>Sales Officer 137</t>
  </si>
  <si>
    <t>Sales Officer 136</t>
  </si>
  <si>
    <t>Sales Officer 135</t>
  </si>
  <si>
    <t>Sales Officer 134</t>
  </si>
  <si>
    <t>Sales Officer 133</t>
  </si>
  <si>
    <t>Sales Officer 132</t>
  </si>
  <si>
    <t>Sales Officer 131</t>
  </si>
  <si>
    <t>Sales Officer 130</t>
  </si>
  <si>
    <t>Sales Officer 129</t>
  </si>
  <si>
    <t>Sales Officer 128</t>
  </si>
  <si>
    <t>Sales Officer 127</t>
  </si>
  <si>
    <t>Sales Officer 126</t>
  </si>
  <si>
    <t>Sales Officer 125</t>
  </si>
  <si>
    <t>Sales Officer 124</t>
  </si>
  <si>
    <t>Sales Officer 123</t>
  </si>
  <si>
    <t>Sales Officer 122</t>
  </si>
  <si>
    <t>Sales Officer 121</t>
  </si>
  <si>
    <t>Sales Officer 120</t>
  </si>
  <si>
    <t>Sales Officer 119</t>
  </si>
  <si>
    <t>Sales Officer 118</t>
  </si>
  <si>
    <t>Sales Officer 117</t>
  </si>
  <si>
    <t>Sales Officer 116</t>
  </si>
  <si>
    <t>Sales Officer 115</t>
  </si>
  <si>
    <t>Sales Officer 114</t>
  </si>
  <si>
    <t>Sales Officer 113</t>
  </si>
  <si>
    <t>Sales Officer 112</t>
  </si>
  <si>
    <t>Sales Officer 111</t>
  </si>
  <si>
    <t>Sales Officer 110</t>
  </si>
  <si>
    <t>Sales Officer 109</t>
  </si>
  <si>
    <t>Sales Officer 108</t>
  </si>
  <si>
    <t>Sales Officer 107</t>
  </si>
  <si>
    <t>Sales Officer 106</t>
  </si>
  <si>
    <t>Sales Officer 105</t>
  </si>
  <si>
    <t>Sales Officer 104</t>
  </si>
  <si>
    <t>Sales Officer 103</t>
  </si>
  <si>
    <t>Sales Officer 102</t>
  </si>
  <si>
    <t>Sales Officer 101</t>
  </si>
  <si>
    <t>Sales Officer 100</t>
  </si>
  <si>
    <t>Sales Officer 99</t>
  </si>
  <si>
    <t>Sales Officer 98</t>
  </si>
  <si>
    <t>Sales Officer 97</t>
  </si>
  <si>
    <t>Sales Officer 96</t>
  </si>
  <si>
    <t>Sales Officer 95</t>
  </si>
  <si>
    <t>Sales Officer 94</t>
  </si>
  <si>
    <t>Sales Officer 93</t>
  </si>
  <si>
    <t>Sales Officer 92</t>
  </si>
  <si>
    <t>Sales Officer 91</t>
  </si>
  <si>
    <t>Sales Officer 90</t>
  </si>
  <si>
    <t>Sales Officer 89</t>
  </si>
  <si>
    <t>Sales Officer 88</t>
  </si>
  <si>
    <t>Sales Officer 87</t>
  </si>
  <si>
    <t>Sales Officer 86</t>
  </si>
  <si>
    <t>Sales Officer 85</t>
  </si>
  <si>
    <t>Sales Officer 84</t>
  </si>
  <si>
    <t>Sales Officer 83</t>
  </si>
  <si>
    <t>Sales Officer 82</t>
  </si>
  <si>
    <t>Sales Officer 81</t>
  </si>
  <si>
    <t>Sales Officer 80</t>
  </si>
  <si>
    <t>Sales Officer 79</t>
  </si>
  <si>
    <t>Sales Officer 78</t>
  </si>
  <si>
    <t>Sales Officer 77</t>
  </si>
  <si>
    <t>Sales Officer 76</t>
  </si>
  <si>
    <t>Sales Officer 75</t>
  </si>
  <si>
    <t>Sales Officer 74</t>
  </si>
  <si>
    <t>Sales Officer 73</t>
  </si>
  <si>
    <t>Sales Officer 72</t>
  </si>
  <si>
    <t>Sales Officer 71</t>
  </si>
  <si>
    <t>Sales Officer 70</t>
  </si>
  <si>
    <t>Sales Officer 69</t>
  </si>
  <si>
    <t>Sales Officer 68</t>
  </si>
  <si>
    <t>Sales Officer 67</t>
  </si>
  <si>
    <t>Sales Officer 66</t>
  </si>
  <si>
    <t>Sales Officer 65</t>
  </si>
  <si>
    <t>Sales Officer 64</t>
  </si>
  <si>
    <t>Sales Officer 63</t>
  </si>
  <si>
    <t>Sales Officer 62</t>
  </si>
  <si>
    <t>Sales Officer 61</t>
  </si>
  <si>
    <t>Sales Officer 60</t>
  </si>
  <si>
    <t>Sales Officer 59</t>
  </si>
  <si>
    <t>Sales Officer 58</t>
  </si>
  <si>
    <t>Sales Officer 57</t>
  </si>
  <si>
    <t>Sales Officer 56</t>
  </si>
  <si>
    <t>Sales Officer 55</t>
  </si>
  <si>
    <t>Sales Officer 54</t>
  </si>
  <si>
    <t>Sales Officer 53</t>
  </si>
  <si>
    <t>Sales Officer 52</t>
  </si>
  <si>
    <t>Sales Officer 51</t>
  </si>
  <si>
    <t>Sales Officer 50</t>
  </si>
  <si>
    <t>Sales Officer 49</t>
  </si>
  <si>
    <t>Sales Officer 48</t>
  </si>
  <si>
    <t>Sales Officer 47</t>
  </si>
  <si>
    <t>Sales Officer 46</t>
  </si>
  <si>
    <t>Sales Officer 45</t>
  </si>
  <si>
    <t>Sales Officer 44</t>
  </si>
  <si>
    <t>Sales Officer 43</t>
  </si>
  <si>
    <t>Sales Officer 42</t>
  </si>
  <si>
    <t>Sales Officer 41</t>
  </si>
  <si>
    <t>Sales Officer 40</t>
  </si>
  <si>
    <t>Sales Officer 39</t>
  </si>
  <si>
    <t>Sales Officer 38</t>
  </si>
  <si>
    <t>Sales Officer 37</t>
  </si>
  <si>
    <t>Sales Officer 36</t>
  </si>
  <si>
    <t>Sales Officer 35</t>
  </si>
  <si>
    <t>Sales Officer 34</t>
  </si>
  <si>
    <t>Sales Officer 33</t>
  </si>
  <si>
    <t>Sales Officer 32</t>
  </si>
  <si>
    <t>Sales Officer 31</t>
  </si>
  <si>
    <t>Sales Officer 30</t>
  </si>
  <si>
    <t>Sales Officer 29</t>
  </si>
  <si>
    <t>Sales Officer 28</t>
  </si>
  <si>
    <t>Sales Officer 27</t>
  </si>
  <si>
    <t>Sales Officer 26</t>
  </si>
  <si>
    <t>Sales Officer 25</t>
  </si>
  <si>
    <t>Sales Officer 24</t>
  </si>
  <si>
    <t>Sales Officer 23</t>
  </si>
  <si>
    <t>Sales Officer 22</t>
  </si>
  <si>
    <t>Sales Officer 21</t>
  </si>
  <si>
    <t>Sales Officer 20</t>
  </si>
  <si>
    <t>Sales Officer 19</t>
  </si>
  <si>
    <t>Sales Officer 18</t>
  </si>
  <si>
    <t>Sales Officer 17</t>
  </si>
  <si>
    <t>Sales Officer 16</t>
  </si>
  <si>
    <t>Sales Officer 15</t>
  </si>
  <si>
    <t>Sales Officer 14</t>
  </si>
  <si>
    <t>Sales Officer 13</t>
  </si>
  <si>
    <t>Sales Revenue (2019)</t>
  </si>
  <si>
    <t>Total Commision (2019)</t>
  </si>
  <si>
    <t>Tax Payable (2019)</t>
  </si>
  <si>
    <t>Total Sales Revenue (2019)</t>
  </si>
  <si>
    <t>Max Comission (2019)</t>
  </si>
  <si>
    <t>Average Tax Payable (2019)</t>
  </si>
  <si>
    <t>Commision</t>
  </si>
  <si>
    <t>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</si>
</sst>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[$৳-845]"/>
    <numFmt numFmtId="165" formatCode="#,##0.00[$৳-845]"/>
  </numFmts>
  <fonts count="7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8"/>
      <color theme="0"/>
      <name val="Arial Black"/>
      <family val="2"/>
    </font>
    <font>
      <b/>
      <i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0"/>
      <name val="Arial Black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1">
    <xf numFmtId="0" fontId="0" fillId="0" borderId="0" xfId="0"/>
    <xf numFmtId="0" fontId="1" fillId="4" borderId="2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165" fontId="3" fillId="3" borderId="4" xfId="1" applyNumberFormat="1" applyFont="1" applyFill="1" applyBorder="1" applyAlignment="1">
      <alignment horizontal="center" vertical="center" wrapText="1"/>
    </xf>
    <xf numFmtId="165" fontId="3" fillId="6" borderId="4" xfId="1" applyNumberFormat="1" applyFont="1" applyFill="1" applyBorder="1" applyAlignment="1">
      <alignment horizontal="center" vertical="center" wrapText="1"/>
    </xf>
    <xf numFmtId="165" fontId="3" fillId="5" borderId="4" xfId="1" applyNumberFormat="1" applyFont="1" applyFill="1" applyBorder="1" applyAlignment="1">
      <alignment horizontal="center" vertical="center" wrapText="1"/>
    </xf>
    <xf numFmtId="9" fontId="3" fillId="0" borderId="4" xfId="1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left" vertical="center"/>
    </xf>
    <xf numFmtId="164" fontId="5" fillId="0" borderId="2" xfId="0" applyNumberFormat="1" applyFont="1" applyFill="1" applyBorder="1" applyAlignment="1">
      <alignment horizontal="left" vertical="center" wrapText="1"/>
    </xf>
    <xf numFmtId="164" fontId="5" fillId="0" borderId="2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7575"/>
      <color rgb="FFFA0000"/>
      <color rgb="FFEE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10</xdr:row>
      <xdr:rowOff>6350</xdr:rowOff>
    </xdr:from>
    <xdr:to>
      <xdr:col>8</xdr:col>
      <xdr:colOff>0</xdr:colOff>
      <xdr:row>23</xdr:row>
      <xdr:rowOff>25400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1F4E3FB-29D2-4AE9-ACB5-64E0C084E61D}"/>
            </a:ext>
          </a:extLst>
        </xdr:cNvPr>
        <xdr:cNvSpPr txBox="1"/>
      </xdr:nvSpPr>
      <xdr:spPr>
        <a:xfrm>
          <a:off x="7181850" y="2635250"/>
          <a:ext cx="3721100" cy="2908300"/>
        </a:xfrm>
        <a:prstGeom prst="rect">
          <a:avLst/>
        </a:prstGeom>
        <a:solidFill>
          <a:srgbClr val="2E75B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0" lang="en-US" sz="105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EXERCISE 16</a:t>
          </a:r>
        </a:p>
        <a:p>
          <a:endParaRPr kumimoji="0" lang="en-US" sz="10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0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Fill the shaded cells with the necessary calculations by following the steps shown below:</a:t>
          </a:r>
        </a:p>
        <a:p>
          <a:pPr lvl="1"/>
          <a:endParaRPr kumimoji="0" lang="en-US" sz="1000" b="0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1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Step 1:</a:t>
          </a:r>
        </a:p>
        <a:p>
          <a:pPr lvl="1"/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Name the cells H3 &amp; H6 and use the named cells to calculate the total commision and tax payable amounts in Column C &amp; Column D</a:t>
          </a:r>
        </a:p>
        <a:p>
          <a:pPr lvl="1"/>
          <a:endParaRPr kumimoji="0" lang="en-US" sz="1000" b="0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1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Step 2:</a:t>
          </a:r>
        </a:p>
        <a:p>
          <a:pPr lvl="1"/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Using the Create From Selection tool, apply named ranges to Columns A to D.</a:t>
          </a:r>
        </a:p>
        <a:p>
          <a:pPr lvl="1"/>
          <a:endParaRPr kumimoji="0" lang="en-US" sz="1000" b="0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1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Step 3:</a:t>
          </a:r>
        </a:p>
        <a:p>
          <a:pPr lvl="1"/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Using the named ranges from Step 2, calculate the necessary information in cells F3, F6 &amp; F9.</a:t>
          </a:r>
        </a:p>
        <a:p>
          <a:pPr lvl="0"/>
          <a:endParaRPr kumimoji="0" lang="en-US" sz="1000" b="0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0"/>
          <a:endParaRPr kumimoji="0" lang="en-US" sz="10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kumimoji="0" lang="en-US" sz="10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lvl="0"/>
          <a:r>
            <a:rPr lang="en-US" sz="1400" b="1" baseline="0">
              <a:solidFill>
                <a:schemeClr val="bg1"/>
              </a:solidFill>
            </a:rPr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28A8C-4067-40D7-9568-EEF1A9DD3F81}">
  <dimension ref="A1:H202"/>
  <sheetViews>
    <sheetView tabSelected="1" zoomScaleNormal="100" workbookViewId="0">
      <selection sqref="A1:D1"/>
    </sheetView>
  </sheetViews>
  <sheetFormatPr defaultRowHeight="14.5" x14ac:dyDescent="0.35"/>
  <cols>
    <col min="1" max="2" width="22.08984375" customWidth="1"/>
    <col min="3" max="4" width="24.81640625" customWidth="1"/>
    <col min="5" max="5" width="9" customWidth="1"/>
    <col min="6" max="6" width="31.08984375" customWidth="1"/>
    <col min="7" max="7" width="5.6328125" customWidth="1"/>
    <col min="8" max="8" width="16.54296875" customWidth="1"/>
  </cols>
  <sheetData>
    <row r="1" spans="1:8" ht="43.5" customHeight="1" thickBot="1" x14ac:dyDescent="0.4">
      <c r="A1" s="10" t="s">
        <v>0</v>
      </c>
      <c r="B1" s="10"/>
      <c r="C1" s="10"/>
      <c r="D1" s="10"/>
    </row>
    <row r="2" spans="1:8" ht="23" customHeight="1" thickBot="1" x14ac:dyDescent="0.4">
      <c r="A2" s="1" t="s">
        <v>1</v>
      </c>
      <c r="B2" s="1" t="s">
        <v>202</v>
      </c>
      <c r="C2" s="7" t="s">
        <v>203</v>
      </c>
      <c r="D2" s="7" t="s">
        <v>204</v>
      </c>
      <c r="F2" s="2" t="s">
        <v>205</v>
      </c>
      <c r="H2" s="2" t="s">
        <v>208</v>
      </c>
    </row>
    <row r="3" spans="1:8" ht="17.5" customHeight="1" thickBot="1" x14ac:dyDescent="0.4">
      <c r="A3" s="8" t="s">
        <v>2</v>
      </c>
      <c r="B3" s="8">
        <v>110630</v>
      </c>
      <c r="C3" s="9"/>
      <c r="D3" s="9"/>
      <c r="F3" s="3"/>
      <c r="H3" s="6">
        <v>0.05</v>
      </c>
    </row>
    <row r="4" spans="1:8" ht="17.5" customHeight="1" thickBot="1" x14ac:dyDescent="0.4">
      <c r="A4" s="8" t="s">
        <v>3</v>
      </c>
      <c r="B4" s="8">
        <v>32737</v>
      </c>
      <c r="C4" s="9"/>
      <c r="D4" s="9"/>
    </row>
    <row r="5" spans="1:8" ht="17.5" customHeight="1" thickBot="1" x14ac:dyDescent="0.4">
      <c r="A5" s="8" t="s">
        <v>4</v>
      </c>
      <c r="B5" s="8">
        <v>193111</v>
      </c>
      <c r="C5" s="9"/>
      <c r="D5" s="9"/>
      <c r="F5" s="2" t="s">
        <v>206</v>
      </c>
      <c r="H5" s="2" t="s">
        <v>209</v>
      </c>
    </row>
    <row r="6" spans="1:8" ht="17.5" customHeight="1" thickBot="1" x14ac:dyDescent="0.4">
      <c r="A6" s="8" t="s">
        <v>5</v>
      </c>
      <c r="B6" s="8">
        <v>210000</v>
      </c>
      <c r="C6" s="9"/>
      <c r="D6" s="9"/>
      <c r="F6" s="4"/>
      <c r="H6" s="6">
        <v>0.25</v>
      </c>
    </row>
    <row r="7" spans="1:8" ht="17.5" customHeight="1" thickBot="1" x14ac:dyDescent="0.4">
      <c r="A7" s="8" t="s">
        <v>6</v>
      </c>
      <c r="B7" s="8">
        <v>61959</v>
      </c>
      <c r="C7" s="9"/>
      <c r="D7" s="9"/>
    </row>
    <row r="8" spans="1:8" ht="17.5" customHeight="1" thickBot="1" x14ac:dyDescent="0.4">
      <c r="A8" s="8" t="s">
        <v>7</v>
      </c>
      <c r="B8" s="8">
        <v>110426</v>
      </c>
      <c r="C8" s="9"/>
      <c r="D8" s="9"/>
      <c r="F8" s="2" t="s">
        <v>207</v>
      </c>
    </row>
    <row r="9" spans="1:8" ht="17.5" customHeight="1" thickBot="1" x14ac:dyDescent="0.4">
      <c r="A9" s="8" t="s">
        <v>8</v>
      </c>
      <c r="B9" s="8">
        <v>125274</v>
      </c>
      <c r="C9" s="9"/>
      <c r="D9" s="9"/>
      <c r="F9" s="5"/>
    </row>
    <row r="10" spans="1:8" ht="17.5" customHeight="1" x14ac:dyDescent="0.35">
      <c r="A10" s="8" t="s">
        <v>9</v>
      </c>
      <c r="B10" s="8">
        <v>170030</v>
      </c>
      <c r="C10" s="9"/>
      <c r="D10" s="9"/>
    </row>
    <row r="11" spans="1:8" ht="17.5" customHeight="1" x14ac:dyDescent="0.35">
      <c r="A11" s="8" t="s">
        <v>10</v>
      </c>
      <c r="B11" s="8">
        <v>147978</v>
      </c>
      <c r="C11" s="9"/>
      <c r="D11" s="9"/>
    </row>
    <row r="12" spans="1:8" ht="17.5" customHeight="1" x14ac:dyDescent="0.35">
      <c r="A12" s="8" t="s">
        <v>11</v>
      </c>
      <c r="B12" s="8">
        <v>182437</v>
      </c>
      <c r="C12" s="9"/>
      <c r="D12" s="9"/>
    </row>
    <row r="13" spans="1:8" ht="17.5" customHeight="1" x14ac:dyDescent="0.35">
      <c r="A13" s="8" t="s">
        <v>12</v>
      </c>
      <c r="B13" s="8">
        <v>109435</v>
      </c>
      <c r="C13" s="9"/>
      <c r="D13" s="9"/>
    </row>
    <row r="14" spans="1:8" ht="17.5" customHeight="1" x14ac:dyDescent="0.35">
      <c r="A14" s="8" t="s">
        <v>13</v>
      </c>
      <c r="B14" s="8">
        <v>130085</v>
      </c>
      <c r="C14" s="9"/>
      <c r="D14" s="9"/>
    </row>
    <row r="15" spans="1:8" ht="17.5" customHeight="1" x14ac:dyDescent="0.35">
      <c r="A15" s="8" t="s">
        <v>201</v>
      </c>
      <c r="B15" s="8">
        <v>147122</v>
      </c>
      <c r="C15" s="9"/>
      <c r="D15" s="9"/>
    </row>
    <row r="16" spans="1:8" ht="17.5" customHeight="1" x14ac:dyDescent="0.35">
      <c r="A16" s="8" t="s">
        <v>200</v>
      </c>
      <c r="B16" s="8">
        <v>125542</v>
      </c>
      <c r="C16" s="9"/>
      <c r="D16" s="9"/>
    </row>
    <row r="17" spans="1:4" ht="17.5" customHeight="1" x14ac:dyDescent="0.35">
      <c r="A17" s="8" t="s">
        <v>199</v>
      </c>
      <c r="B17" s="8">
        <v>76744</v>
      </c>
      <c r="C17" s="9"/>
      <c r="D17" s="9"/>
    </row>
    <row r="18" spans="1:4" ht="17.5" customHeight="1" x14ac:dyDescent="0.35">
      <c r="A18" s="8" t="s">
        <v>198</v>
      </c>
      <c r="B18" s="8">
        <v>96803</v>
      </c>
      <c r="C18" s="9"/>
      <c r="D18" s="9"/>
    </row>
    <row r="19" spans="1:4" ht="17.5" customHeight="1" x14ac:dyDescent="0.35">
      <c r="A19" s="8" t="s">
        <v>197</v>
      </c>
      <c r="B19" s="8">
        <v>31986</v>
      </c>
      <c r="C19" s="9"/>
      <c r="D19" s="9"/>
    </row>
    <row r="20" spans="1:4" ht="17.5" customHeight="1" x14ac:dyDescent="0.35">
      <c r="A20" s="8" t="s">
        <v>196</v>
      </c>
      <c r="B20" s="8">
        <v>30470</v>
      </c>
      <c r="C20" s="9"/>
      <c r="D20" s="9"/>
    </row>
    <row r="21" spans="1:4" ht="17.5" customHeight="1" x14ac:dyDescent="0.35">
      <c r="A21" s="8" t="s">
        <v>195</v>
      </c>
      <c r="B21" s="8">
        <v>181258</v>
      </c>
      <c r="C21" s="9"/>
      <c r="D21" s="9"/>
    </row>
    <row r="22" spans="1:4" ht="17.5" customHeight="1" x14ac:dyDescent="0.35">
      <c r="A22" s="8" t="s">
        <v>194</v>
      </c>
      <c r="B22" s="8">
        <v>94508</v>
      </c>
      <c r="C22" s="9"/>
      <c r="D22" s="9"/>
    </row>
    <row r="23" spans="1:4" ht="17.5" customHeight="1" x14ac:dyDescent="0.35">
      <c r="A23" s="8" t="s">
        <v>193</v>
      </c>
      <c r="B23" s="8">
        <v>105227</v>
      </c>
      <c r="C23" s="9"/>
      <c r="D23" s="9"/>
    </row>
    <row r="24" spans="1:4" ht="17.5" customHeight="1" x14ac:dyDescent="0.35">
      <c r="A24" s="8" t="s">
        <v>192</v>
      </c>
      <c r="B24" s="8">
        <v>170153</v>
      </c>
      <c r="C24" s="9"/>
      <c r="D24" s="9"/>
    </row>
    <row r="25" spans="1:4" ht="17.5" customHeight="1" x14ac:dyDescent="0.35">
      <c r="A25" s="8" t="s">
        <v>191</v>
      </c>
      <c r="B25" s="8">
        <v>42445</v>
      </c>
      <c r="C25" s="9"/>
      <c r="D25" s="9"/>
    </row>
    <row r="26" spans="1:4" ht="17.5" customHeight="1" x14ac:dyDescent="0.35">
      <c r="A26" s="8" t="s">
        <v>190</v>
      </c>
      <c r="B26" s="8">
        <v>58066</v>
      </c>
      <c r="C26" s="9"/>
      <c r="D26" s="9"/>
    </row>
    <row r="27" spans="1:4" ht="17.5" customHeight="1" x14ac:dyDescent="0.35">
      <c r="A27" s="8" t="s">
        <v>189</v>
      </c>
      <c r="B27" s="8">
        <v>189990</v>
      </c>
      <c r="C27" s="9"/>
      <c r="D27" s="9"/>
    </row>
    <row r="28" spans="1:4" ht="17.5" customHeight="1" x14ac:dyDescent="0.35">
      <c r="A28" s="8" t="s">
        <v>188</v>
      </c>
      <c r="B28" s="8">
        <v>31443</v>
      </c>
      <c r="C28" s="9"/>
      <c r="D28" s="9"/>
    </row>
    <row r="29" spans="1:4" ht="17.5" customHeight="1" x14ac:dyDescent="0.35">
      <c r="A29" s="8" t="s">
        <v>187</v>
      </c>
      <c r="B29" s="8">
        <v>41322</v>
      </c>
      <c r="C29" s="9"/>
      <c r="D29" s="9"/>
    </row>
    <row r="30" spans="1:4" ht="17.5" customHeight="1" x14ac:dyDescent="0.35">
      <c r="A30" s="8" t="s">
        <v>186</v>
      </c>
      <c r="B30" s="8">
        <v>71205</v>
      </c>
      <c r="C30" s="9"/>
      <c r="D30" s="9"/>
    </row>
    <row r="31" spans="1:4" ht="17.5" customHeight="1" x14ac:dyDescent="0.35">
      <c r="A31" s="8" t="s">
        <v>185</v>
      </c>
      <c r="B31" s="8">
        <v>105062</v>
      </c>
      <c r="C31" s="9"/>
      <c r="D31" s="9"/>
    </row>
    <row r="32" spans="1:4" ht="17.5" customHeight="1" x14ac:dyDescent="0.35">
      <c r="A32" s="8" t="s">
        <v>184</v>
      </c>
      <c r="B32" s="8">
        <v>57314</v>
      </c>
      <c r="C32" s="9"/>
      <c r="D32" s="9"/>
    </row>
    <row r="33" spans="1:4" ht="17.5" customHeight="1" x14ac:dyDescent="0.35">
      <c r="A33" s="8" t="s">
        <v>183</v>
      </c>
      <c r="B33" s="8">
        <v>55349</v>
      </c>
      <c r="C33" s="9"/>
      <c r="D33" s="9"/>
    </row>
    <row r="34" spans="1:4" ht="17.5" customHeight="1" x14ac:dyDescent="0.35">
      <c r="A34" s="8" t="s">
        <v>182</v>
      </c>
      <c r="B34" s="8">
        <v>183424</v>
      </c>
      <c r="C34" s="9"/>
      <c r="D34" s="9"/>
    </row>
    <row r="35" spans="1:4" ht="17.5" customHeight="1" x14ac:dyDescent="0.35">
      <c r="A35" s="8" t="s">
        <v>181</v>
      </c>
      <c r="B35" s="8">
        <v>180229</v>
      </c>
      <c r="C35" s="9"/>
      <c r="D35" s="9"/>
    </row>
    <row r="36" spans="1:4" ht="17.5" customHeight="1" x14ac:dyDescent="0.35">
      <c r="A36" s="8" t="s">
        <v>180</v>
      </c>
      <c r="B36" s="8">
        <v>107861</v>
      </c>
      <c r="C36" s="9"/>
      <c r="D36" s="9"/>
    </row>
    <row r="37" spans="1:4" ht="17.5" customHeight="1" x14ac:dyDescent="0.35">
      <c r="A37" s="8" t="s">
        <v>179</v>
      </c>
      <c r="B37" s="8">
        <v>185389</v>
      </c>
      <c r="C37" s="9"/>
      <c r="D37" s="9"/>
    </row>
    <row r="38" spans="1:4" ht="17.5" customHeight="1" x14ac:dyDescent="0.35">
      <c r="A38" s="8" t="s">
        <v>178</v>
      </c>
      <c r="B38" s="8">
        <v>174332</v>
      </c>
      <c r="C38" s="9"/>
      <c r="D38" s="9"/>
    </row>
    <row r="39" spans="1:4" ht="17.5" customHeight="1" x14ac:dyDescent="0.35">
      <c r="A39" s="8" t="s">
        <v>177</v>
      </c>
      <c r="B39" s="8">
        <v>118953</v>
      </c>
      <c r="C39" s="9"/>
      <c r="D39" s="9"/>
    </row>
    <row r="40" spans="1:4" ht="17.5" customHeight="1" x14ac:dyDescent="0.35">
      <c r="A40" s="8" t="s">
        <v>176</v>
      </c>
      <c r="B40" s="8">
        <v>188063</v>
      </c>
      <c r="C40" s="9"/>
      <c r="D40" s="9"/>
    </row>
    <row r="41" spans="1:4" ht="17.5" customHeight="1" x14ac:dyDescent="0.35">
      <c r="A41" s="8" t="s">
        <v>175</v>
      </c>
      <c r="B41" s="8">
        <v>65389</v>
      </c>
      <c r="C41" s="9"/>
      <c r="D41" s="9"/>
    </row>
    <row r="42" spans="1:4" ht="17.5" customHeight="1" x14ac:dyDescent="0.35">
      <c r="A42" s="8" t="s">
        <v>174</v>
      </c>
      <c r="B42" s="8">
        <v>110709</v>
      </c>
      <c r="C42" s="9"/>
      <c r="D42" s="9"/>
    </row>
    <row r="43" spans="1:4" ht="17.5" customHeight="1" x14ac:dyDescent="0.35">
      <c r="A43" s="8" t="s">
        <v>173</v>
      </c>
      <c r="B43" s="8">
        <v>154498</v>
      </c>
      <c r="C43" s="9"/>
      <c r="D43" s="9"/>
    </row>
    <row r="44" spans="1:4" ht="17.5" customHeight="1" x14ac:dyDescent="0.35">
      <c r="A44" s="8" t="s">
        <v>172</v>
      </c>
      <c r="B44" s="8">
        <v>35017</v>
      </c>
      <c r="C44" s="9"/>
      <c r="D44" s="9"/>
    </row>
    <row r="45" spans="1:4" ht="17.5" customHeight="1" x14ac:dyDescent="0.35">
      <c r="A45" s="8" t="s">
        <v>171</v>
      </c>
      <c r="B45" s="8">
        <v>32943</v>
      </c>
      <c r="C45" s="9"/>
      <c r="D45" s="9"/>
    </row>
    <row r="46" spans="1:4" ht="17.5" customHeight="1" x14ac:dyDescent="0.35">
      <c r="A46" s="8" t="s">
        <v>170</v>
      </c>
      <c r="B46" s="8">
        <v>171394</v>
      </c>
      <c r="C46" s="9"/>
      <c r="D46" s="9"/>
    </row>
    <row r="47" spans="1:4" ht="17.5" customHeight="1" x14ac:dyDescent="0.35">
      <c r="A47" s="8" t="s">
        <v>169</v>
      </c>
      <c r="B47" s="8">
        <v>71601</v>
      </c>
      <c r="C47" s="9"/>
      <c r="D47" s="9"/>
    </row>
    <row r="48" spans="1:4" ht="17.5" customHeight="1" x14ac:dyDescent="0.35">
      <c r="A48" s="8" t="s">
        <v>168</v>
      </c>
      <c r="B48" s="8">
        <v>77294</v>
      </c>
      <c r="C48" s="9"/>
      <c r="D48" s="9"/>
    </row>
    <row r="49" spans="1:4" ht="17.5" customHeight="1" x14ac:dyDescent="0.35">
      <c r="A49" s="8" t="s">
        <v>167</v>
      </c>
      <c r="B49" s="8">
        <v>164433</v>
      </c>
      <c r="C49" s="9"/>
      <c r="D49" s="9"/>
    </row>
    <row r="50" spans="1:4" ht="17.5" customHeight="1" x14ac:dyDescent="0.35">
      <c r="A50" s="8" t="s">
        <v>166</v>
      </c>
      <c r="B50" s="8">
        <v>136268</v>
      </c>
      <c r="C50" s="9"/>
      <c r="D50" s="9"/>
    </row>
    <row r="51" spans="1:4" ht="17.5" customHeight="1" x14ac:dyDescent="0.35">
      <c r="A51" s="8" t="s">
        <v>165</v>
      </c>
      <c r="B51" s="8">
        <v>129501</v>
      </c>
      <c r="C51" s="9"/>
      <c r="D51" s="9"/>
    </row>
    <row r="52" spans="1:4" ht="17.5" customHeight="1" x14ac:dyDescent="0.35">
      <c r="A52" s="8" t="s">
        <v>164</v>
      </c>
      <c r="B52" s="8">
        <v>173376</v>
      </c>
      <c r="C52" s="9"/>
      <c r="D52" s="9"/>
    </row>
    <row r="53" spans="1:4" ht="17.5" customHeight="1" x14ac:dyDescent="0.35">
      <c r="A53" s="8" t="s">
        <v>163</v>
      </c>
      <c r="B53" s="8">
        <v>57428</v>
      </c>
      <c r="C53" s="9"/>
      <c r="D53" s="9"/>
    </row>
    <row r="54" spans="1:4" ht="17.5" customHeight="1" x14ac:dyDescent="0.35">
      <c r="A54" s="8" t="s">
        <v>162</v>
      </c>
      <c r="B54" s="8">
        <v>105299</v>
      </c>
      <c r="C54" s="9"/>
      <c r="D54" s="9"/>
    </row>
    <row r="55" spans="1:4" ht="17.5" customHeight="1" x14ac:dyDescent="0.35">
      <c r="A55" s="8" t="s">
        <v>161</v>
      </c>
      <c r="B55" s="8">
        <v>170447</v>
      </c>
      <c r="C55" s="9"/>
      <c r="D55" s="9"/>
    </row>
    <row r="56" spans="1:4" ht="17.5" customHeight="1" x14ac:dyDescent="0.35">
      <c r="A56" s="8" t="s">
        <v>160</v>
      </c>
      <c r="B56" s="8">
        <v>55275</v>
      </c>
      <c r="C56" s="9"/>
      <c r="D56" s="9"/>
    </row>
    <row r="57" spans="1:4" ht="17.5" customHeight="1" x14ac:dyDescent="0.35">
      <c r="A57" s="8" t="s">
        <v>159</v>
      </c>
      <c r="B57" s="8">
        <v>193455</v>
      </c>
      <c r="C57" s="9"/>
      <c r="D57" s="9"/>
    </row>
    <row r="58" spans="1:4" ht="17.5" customHeight="1" x14ac:dyDescent="0.35">
      <c r="A58" s="8" t="s">
        <v>158</v>
      </c>
      <c r="B58" s="8">
        <v>140199</v>
      </c>
      <c r="C58" s="9"/>
      <c r="D58" s="9"/>
    </row>
    <row r="59" spans="1:4" ht="17.5" customHeight="1" x14ac:dyDescent="0.35">
      <c r="A59" s="8" t="s">
        <v>157</v>
      </c>
      <c r="B59" s="8">
        <v>41255</v>
      </c>
      <c r="C59" s="9"/>
      <c r="D59" s="9"/>
    </row>
    <row r="60" spans="1:4" ht="17.5" customHeight="1" x14ac:dyDescent="0.35">
      <c r="A60" s="8" t="s">
        <v>156</v>
      </c>
      <c r="B60" s="8">
        <v>59540</v>
      </c>
      <c r="C60" s="9"/>
      <c r="D60" s="9"/>
    </row>
    <row r="61" spans="1:4" ht="17.5" customHeight="1" x14ac:dyDescent="0.35">
      <c r="A61" s="8" t="s">
        <v>155</v>
      </c>
      <c r="B61" s="8">
        <v>153691</v>
      </c>
      <c r="C61" s="9"/>
      <c r="D61" s="9"/>
    </row>
    <row r="62" spans="1:4" ht="17.5" customHeight="1" x14ac:dyDescent="0.35">
      <c r="A62" s="8" t="s">
        <v>154</v>
      </c>
      <c r="B62" s="8">
        <v>31247</v>
      </c>
      <c r="C62" s="9"/>
      <c r="D62" s="9"/>
    </row>
    <row r="63" spans="1:4" ht="17.5" customHeight="1" x14ac:dyDescent="0.35">
      <c r="A63" s="8" t="s">
        <v>153</v>
      </c>
      <c r="B63" s="8">
        <v>48272</v>
      </c>
      <c r="C63" s="9"/>
      <c r="D63" s="9"/>
    </row>
    <row r="64" spans="1:4" ht="17.5" customHeight="1" x14ac:dyDescent="0.35">
      <c r="A64" s="8" t="s">
        <v>152</v>
      </c>
      <c r="B64" s="8">
        <v>45323</v>
      </c>
      <c r="C64" s="9"/>
      <c r="D64" s="9"/>
    </row>
    <row r="65" spans="1:4" ht="17.5" customHeight="1" x14ac:dyDescent="0.35">
      <c r="A65" s="8" t="s">
        <v>151</v>
      </c>
      <c r="B65" s="8">
        <v>92224</v>
      </c>
      <c r="C65" s="9"/>
      <c r="D65" s="9"/>
    </row>
    <row r="66" spans="1:4" ht="17.5" customHeight="1" x14ac:dyDescent="0.35">
      <c r="A66" s="8" t="s">
        <v>150</v>
      </c>
      <c r="B66" s="8">
        <v>70182</v>
      </c>
      <c r="C66" s="9"/>
      <c r="D66" s="9"/>
    </row>
    <row r="67" spans="1:4" ht="17.5" customHeight="1" x14ac:dyDescent="0.35">
      <c r="A67" s="8" t="s">
        <v>149</v>
      </c>
      <c r="B67" s="8">
        <v>109982</v>
      </c>
      <c r="C67" s="9"/>
      <c r="D67" s="9"/>
    </row>
    <row r="68" spans="1:4" ht="17.5" customHeight="1" x14ac:dyDescent="0.35">
      <c r="A68" s="8" t="s">
        <v>148</v>
      </c>
      <c r="B68" s="8">
        <v>83721</v>
      </c>
      <c r="C68" s="9"/>
      <c r="D68" s="9"/>
    </row>
    <row r="69" spans="1:4" ht="17.5" customHeight="1" x14ac:dyDescent="0.35">
      <c r="A69" s="8" t="s">
        <v>147</v>
      </c>
      <c r="B69" s="8">
        <v>192464</v>
      </c>
      <c r="C69" s="9"/>
      <c r="D69" s="9"/>
    </row>
    <row r="70" spans="1:4" ht="17.5" customHeight="1" x14ac:dyDescent="0.35">
      <c r="A70" s="8" t="s">
        <v>146</v>
      </c>
      <c r="B70" s="8">
        <v>37318</v>
      </c>
      <c r="C70" s="9"/>
      <c r="D70" s="9"/>
    </row>
    <row r="71" spans="1:4" ht="17.5" customHeight="1" x14ac:dyDescent="0.35">
      <c r="A71" s="8" t="s">
        <v>145</v>
      </c>
      <c r="B71" s="8">
        <v>175072</v>
      </c>
      <c r="C71" s="9"/>
      <c r="D71" s="9"/>
    </row>
    <row r="72" spans="1:4" ht="17.5" customHeight="1" x14ac:dyDescent="0.35">
      <c r="A72" s="8" t="s">
        <v>144</v>
      </c>
      <c r="B72" s="8">
        <v>153307</v>
      </c>
      <c r="C72" s="9"/>
      <c r="D72" s="9"/>
    </row>
    <row r="73" spans="1:4" ht="17.5" customHeight="1" x14ac:dyDescent="0.35">
      <c r="A73" s="8" t="s">
        <v>143</v>
      </c>
      <c r="B73" s="8">
        <v>63410</v>
      </c>
      <c r="C73" s="9"/>
      <c r="D73" s="9"/>
    </row>
    <row r="74" spans="1:4" ht="17.5" customHeight="1" x14ac:dyDescent="0.35">
      <c r="A74" s="8" t="s">
        <v>142</v>
      </c>
      <c r="B74" s="8">
        <v>191542</v>
      </c>
      <c r="C74" s="9"/>
      <c r="D74" s="9"/>
    </row>
    <row r="75" spans="1:4" ht="17.5" customHeight="1" x14ac:dyDescent="0.35">
      <c r="A75" s="8" t="s">
        <v>141</v>
      </c>
      <c r="B75" s="8">
        <v>184597</v>
      </c>
      <c r="C75" s="9"/>
      <c r="D75" s="9"/>
    </row>
    <row r="76" spans="1:4" ht="17.5" customHeight="1" x14ac:dyDescent="0.35">
      <c r="A76" s="8" t="s">
        <v>140</v>
      </c>
      <c r="B76" s="8">
        <v>121672</v>
      </c>
      <c r="C76" s="9"/>
      <c r="D76" s="9"/>
    </row>
    <row r="77" spans="1:4" ht="17.5" customHeight="1" x14ac:dyDescent="0.35">
      <c r="A77" s="8" t="s">
        <v>139</v>
      </c>
      <c r="B77" s="8">
        <v>164918</v>
      </c>
      <c r="C77" s="9"/>
      <c r="D77" s="9"/>
    </row>
    <row r="78" spans="1:4" ht="17.5" customHeight="1" x14ac:dyDescent="0.35">
      <c r="A78" s="8" t="s">
        <v>138</v>
      </c>
      <c r="B78" s="8">
        <v>132466</v>
      </c>
      <c r="C78" s="9"/>
      <c r="D78" s="9"/>
    </row>
    <row r="79" spans="1:4" ht="17.5" customHeight="1" x14ac:dyDescent="0.35">
      <c r="A79" s="8" t="s">
        <v>137</v>
      </c>
      <c r="B79" s="8">
        <v>110274</v>
      </c>
      <c r="C79" s="9"/>
      <c r="D79" s="9"/>
    </row>
    <row r="80" spans="1:4" ht="17.5" customHeight="1" x14ac:dyDescent="0.35">
      <c r="A80" s="8" t="s">
        <v>136</v>
      </c>
      <c r="B80" s="8">
        <v>63614</v>
      </c>
      <c r="C80" s="9"/>
      <c r="D80" s="9"/>
    </row>
    <row r="81" spans="1:4" ht="17.5" customHeight="1" x14ac:dyDescent="0.35">
      <c r="A81" s="8" t="s">
        <v>135</v>
      </c>
      <c r="B81" s="8">
        <v>81670</v>
      </c>
      <c r="C81" s="9"/>
      <c r="D81" s="9"/>
    </row>
    <row r="82" spans="1:4" ht="17.5" customHeight="1" x14ac:dyDescent="0.35">
      <c r="A82" s="8" t="s">
        <v>134</v>
      </c>
      <c r="B82" s="8">
        <v>171932</v>
      </c>
      <c r="C82" s="9"/>
      <c r="D82" s="9"/>
    </row>
    <row r="83" spans="1:4" ht="17.5" customHeight="1" x14ac:dyDescent="0.35">
      <c r="A83" s="8" t="s">
        <v>133</v>
      </c>
      <c r="B83" s="8">
        <v>146054</v>
      </c>
      <c r="C83" s="9"/>
      <c r="D83" s="9"/>
    </row>
    <row r="84" spans="1:4" ht="17.5" customHeight="1" x14ac:dyDescent="0.35">
      <c r="A84" s="8" t="s">
        <v>132</v>
      </c>
      <c r="B84" s="8">
        <v>174067</v>
      </c>
      <c r="C84" s="9"/>
      <c r="D84" s="9"/>
    </row>
    <row r="85" spans="1:4" ht="17.5" customHeight="1" x14ac:dyDescent="0.35">
      <c r="A85" s="8" t="s">
        <v>131</v>
      </c>
      <c r="B85" s="8">
        <v>33767</v>
      </c>
      <c r="C85" s="9"/>
      <c r="D85" s="9"/>
    </row>
    <row r="86" spans="1:4" ht="17.5" customHeight="1" x14ac:dyDescent="0.35">
      <c r="A86" s="8" t="s">
        <v>130</v>
      </c>
      <c r="B86" s="8">
        <v>154797</v>
      </c>
      <c r="C86" s="9"/>
      <c r="D86" s="9"/>
    </row>
    <row r="87" spans="1:4" ht="17.5" customHeight="1" x14ac:dyDescent="0.35">
      <c r="A87" s="8" t="s">
        <v>129</v>
      </c>
      <c r="B87" s="8">
        <v>121524</v>
      </c>
      <c r="C87" s="9"/>
      <c r="D87" s="9"/>
    </row>
    <row r="88" spans="1:4" ht="17.5" customHeight="1" x14ac:dyDescent="0.35">
      <c r="A88" s="8" t="s">
        <v>128</v>
      </c>
      <c r="B88" s="8">
        <v>96590</v>
      </c>
      <c r="C88" s="9"/>
      <c r="D88" s="9"/>
    </row>
    <row r="89" spans="1:4" ht="17.5" customHeight="1" x14ac:dyDescent="0.35">
      <c r="A89" s="8" t="s">
        <v>127</v>
      </c>
      <c r="B89" s="8">
        <v>146033</v>
      </c>
      <c r="C89" s="9"/>
      <c r="D89" s="9"/>
    </row>
    <row r="90" spans="1:4" ht="17.5" customHeight="1" x14ac:dyDescent="0.35">
      <c r="A90" s="8" t="s">
        <v>126</v>
      </c>
      <c r="B90" s="8">
        <v>148416</v>
      </c>
      <c r="C90" s="9"/>
      <c r="D90" s="9"/>
    </row>
    <row r="91" spans="1:4" ht="17.5" customHeight="1" x14ac:dyDescent="0.35">
      <c r="A91" s="8" t="s">
        <v>125</v>
      </c>
      <c r="B91" s="8">
        <v>52475</v>
      </c>
      <c r="C91" s="9"/>
      <c r="D91" s="9"/>
    </row>
    <row r="92" spans="1:4" ht="17.5" customHeight="1" x14ac:dyDescent="0.35">
      <c r="A92" s="8" t="s">
        <v>124</v>
      </c>
      <c r="B92" s="8">
        <v>192012</v>
      </c>
      <c r="C92" s="9"/>
      <c r="D92" s="9"/>
    </row>
    <row r="93" spans="1:4" ht="17.5" customHeight="1" x14ac:dyDescent="0.35">
      <c r="A93" s="8" t="s">
        <v>123</v>
      </c>
      <c r="B93" s="8">
        <v>73005</v>
      </c>
      <c r="C93" s="9"/>
      <c r="D93" s="9"/>
    </row>
    <row r="94" spans="1:4" ht="17.5" customHeight="1" x14ac:dyDescent="0.35">
      <c r="A94" s="8" t="s">
        <v>122</v>
      </c>
      <c r="B94" s="8">
        <v>163565</v>
      </c>
      <c r="C94" s="9"/>
      <c r="D94" s="9"/>
    </row>
    <row r="95" spans="1:4" ht="17.5" customHeight="1" x14ac:dyDescent="0.35">
      <c r="A95" s="8" t="s">
        <v>121</v>
      </c>
      <c r="B95" s="8">
        <v>166049</v>
      </c>
      <c r="C95" s="9"/>
      <c r="D95" s="9"/>
    </row>
    <row r="96" spans="1:4" ht="17.5" customHeight="1" x14ac:dyDescent="0.35">
      <c r="A96" s="8" t="s">
        <v>120</v>
      </c>
      <c r="B96" s="8">
        <v>134440</v>
      </c>
      <c r="C96" s="9"/>
      <c r="D96" s="9"/>
    </row>
    <row r="97" spans="1:4" ht="17.5" customHeight="1" x14ac:dyDescent="0.35">
      <c r="A97" s="8" t="s">
        <v>119</v>
      </c>
      <c r="B97" s="8">
        <v>177868</v>
      </c>
      <c r="C97" s="9"/>
      <c r="D97" s="9"/>
    </row>
    <row r="98" spans="1:4" ht="17.5" customHeight="1" x14ac:dyDescent="0.35">
      <c r="A98" s="8" t="s">
        <v>118</v>
      </c>
      <c r="B98" s="8">
        <v>112409</v>
      </c>
      <c r="C98" s="9"/>
      <c r="D98" s="9"/>
    </row>
    <row r="99" spans="1:4" ht="17.5" customHeight="1" x14ac:dyDescent="0.35">
      <c r="A99" s="8" t="s">
        <v>117</v>
      </c>
      <c r="B99" s="8">
        <v>114042</v>
      </c>
      <c r="C99" s="9"/>
      <c r="D99" s="9"/>
    </row>
    <row r="100" spans="1:4" ht="17.5" customHeight="1" x14ac:dyDescent="0.35">
      <c r="A100" s="8" t="s">
        <v>116</v>
      </c>
      <c r="B100" s="8">
        <v>123783</v>
      </c>
      <c r="C100" s="9"/>
      <c r="D100" s="9"/>
    </row>
    <row r="101" spans="1:4" ht="17.5" customHeight="1" x14ac:dyDescent="0.35">
      <c r="A101" s="8" t="s">
        <v>115</v>
      </c>
      <c r="B101" s="8">
        <v>45440</v>
      </c>
      <c r="C101" s="9"/>
      <c r="D101" s="9"/>
    </row>
    <row r="102" spans="1:4" ht="17.5" customHeight="1" x14ac:dyDescent="0.35">
      <c r="A102" s="8" t="s">
        <v>114</v>
      </c>
      <c r="B102" s="8">
        <v>71386</v>
      </c>
      <c r="C102" s="9"/>
      <c r="D102" s="9"/>
    </row>
    <row r="103" spans="1:4" ht="17.5" customHeight="1" x14ac:dyDescent="0.35">
      <c r="A103" s="8" t="s">
        <v>113</v>
      </c>
      <c r="B103" s="8">
        <v>75634</v>
      </c>
      <c r="C103" s="9"/>
      <c r="D103" s="9"/>
    </row>
    <row r="104" spans="1:4" ht="17.5" customHeight="1" x14ac:dyDescent="0.35">
      <c r="A104" s="8" t="s">
        <v>112</v>
      </c>
      <c r="B104" s="8">
        <v>95049</v>
      </c>
      <c r="C104" s="9"/>
      <c r="D104" s="9"/>
    </row>
    <row r="105" spans="1:4" ht="17.5" customHeight="1" x14ac:dyDescent="0.35">
      <c r="A105" s="8" t="s">
        <v>111</v>
      </c>
      <c r="B105" s="8">
        <v>110004</v>
      </c>
      <c r="C105" s="9"/>
      <c r="D105" s="9"/>
    </row>
    <row r="106" spans="1:4" ht="17.5" customHeight="1" x14ac:dyDescent="0.35">
      <c r="A106" s="8" t="s">
        <v>110</v>
      </c>
      <c r="B106" s="8">
        <v>141128</v>
      </c>
      <c r="C106" s="9"/>
      <c r="D106" s="9"/>
    </row>
    <row r="107" spans="1:4" ht="17.5" customHeight="1" x14ac:dyDescent="0.35">
      <c r="A107" s="8" t="s">
        <v>109</v>
      </c>
      <c r="B107" s="8">
        <v>95619</v>
      </c>
      <c r="C107" s="9"/>
      <c r="D107" s="9"/>
    </row>
    <row r="108" spans="1:4" ht="17.5" customHeight="1" x14ac:dyDescent="0.35">
      <c r="A108" s="8" t="s">
        <v>108</v>
      </c>
      <c r="B108" s="8">
        <v>198889</v>
      </c>
      <c r="C108" s="9"/>
      <c r="D108" s="9"/>
    </row>
    <row r="109" spans="1:4" ht="17.5" customHeight="1" x14ac:dyDescent="0.35">
      <c r="A109" s="8" t="s">
        <v>107</v>
      </c>
      <c r="B109" s="8">
        <v>148449</v>
      </c>
      <c r="C109" s="9"/>
      <c r="D109" s="9"/>
    </row>
    <row r="110" spans="1:4" ht="17.5" customHeight="1" x14ac:dyDescent="0.35">
      <c r="A110" s="8" t="s">
        <v>106</v>
      </c>
      <c r="B110" s="8">
        <v>109171</v>
      </c>
      <c r="C110" s="9"/>
      <c r="D110" s="9"/>
    </row>
    <row r="111" spans="1:4" ht="17.5" customHeight="1" x14ac:dyDescent="0.35">
      <c r="A111" s="8" t="s">
        <v>105</v>
      </c>
      <c r="B111" s="8">
        <v>129167</v>
      </c>
      <c r="C111" s="9"/>
      <c r="D111" s="9"/>
    </row>
    <row r="112" spans="1:4" ht="17.5" customHeight="1" x14ac:dyDescent="0.35">
      <c r="A112" s="8" t="s">
        <v>104</v>
      </c>
      <c r="B112" s="8">
        <v>194514</v>
      </c>
      <c r="C112" s="9"/>
      <c r="D112" s="9"/>
    </row>
    <row r="113" spans="1:4" ht="17.5" customHeight="1" x14ac:dyDescent="0.35">
      <c r="A113" s="8" t="s">
        <v>103</v>
      </c>
      <c r="B113" s="8">
        <v>115284</v>
      </c>
      <c r="C113" s="9"/>
      <c r="D113" s="9"/>
    </row>
    <row r="114" spans="1:4" ht="17.5" customHeight="1" x14ac:dyDescent="0.35">
      <c r="A114" s="8" t="s">
        <v>102</v>
      </c>
      <c r="B114" s="8">
        <v>105630</v>
      </c>
      <c r="C114" s="9"/>
      <c r="D114" s="9"/>
    </row>
    <row r="115" spans="1:4" ht="17.5" customHeight="1" x14ac:dyDescent="0.35">
      <c r="A115" s="8" t="s">
        <v>101</v>
      </c>
      <c r="B115" s="8">
        <v>63811</v>
      </c>
      <c r="C115" s="9"/>
      <c r="D115" s="9"/>
    </row>
    <row r="116" spans="1:4" ht="17.5" customHeight="1" x14ac:dyDescent="0.35">
      <c r="A116" s="8" t="s">
        <v>100</v>
      </c>
      <c r="B116" s="8">
        <v>128605</v>
      </c>
      <c r="C116" s="9"/>
      <c r="D116" s="9"/>
    </row>
    <row r="117" spans="1:4" ht="17.5" customHeight="1" x14ac:dyDescent="0.35">
      <c r="A117" s="8" t="s">
        <v>99</v>
      </c>
      <c r="B117" s="8">
        <v>183428</v>
      </c>
      <c r="C117" s="9"/>
      <c r="D117" s="9"/>
    </row>
    <row r="118" spans="1:4" ht="17.5" customHeight="1" x14ac:dyDescent="0.35">
      <c r="A118" s="8" t="s">
        <v>98</v>
      </c>
      <c r="B118" s="8">
        <v>63896</v>
      </c>
      <c r="C118" s="9"/>
      <c r="D118" s="9"/>
    </row>
    <row r="119" spans="1:4" ht="17.5" customHeight="1" x14ac:dyDescent="0.35">
      <c r="A119" s="8" t="s">
        <v>97</v>
      </c>
      <c r="B119" s="8">
        <v>79145</v>
      </c>
      <c r="C119" s="9"/>
      <c r="D119" s="9"/>
    </row>
    <row r="120" spans="1:4" ht="17.5" customHeight="1" x14ac:dyDescent="0.35">
      <c r="A120" s="8" t="s">
        <v>96</v>
      </c>
      <c r="B120" s="8">
        <v>35775</v>
      </c>
      <c r="C120" s="9"/>
      <c r="D120" s="9"/>
    </row>
    <row r="121" spans="1:4" ht="17.5" customHeight="1" x14ac:dyDescent="0.35">
      <c r="A121" s="8" t="s">
        <v>95</v>
      </c>
      <c r="B121" s="8">
        <v>44160</v>
      </c>
      <c r="C121" s="9"/>
      <c r="D121" s="9"/>
    </row>
    <row r="122" spans="1:4" ht="17.5" customHeight="1" x14ac:dyDescent="0.35">
      <c r="A122" s="8" t="s">
        <v>94</v>
      </c>
      <c r="B122" s="8">
        <v>110600</v>
      </c>
      <c r="C122" s="9"/>
      <c r="D122" s="9"/>
    </row>
    <row r="123" spans="1:4" ht="17.5" customHeight="1" x14ac:dyDescent="0.35">
      <c r="A123" s="8" t="s">
        <v>93</v>
      </c>
      <c r="B123" s="8">
        <v>95955</v>
      </c>
      <c r="C123" s="9"/>
      <c r="D123" s="9"/>
    </row>
    <row r="124" spans="1:4" ht="17.5" customHeight="1" x14ac:dyDescent="0.35">
      <c r="A124" s="8" t="s">
        <v>92</v>
      </c>
      <c r="B124" s="8">
        <v>85593</v>
      </c>
      <c r="C124" s="9"/>
      <c r="D124" s="9"/>
    </row>
    <row r="125" spans="1:4" ht="17.5" customHeight="1" x14ac:dyDescent="0.35">
      <c r="A125" s="8" t="s">
        <v>91</v>
      </c>
      <c r="B125" s="8">
        <v>178248</v>
      </c>
      <c r="C125" s="9"/>
      <c r="D125" s="9"/>
    </row>
    <row r="126" spans="1:4" ht="17.5" customHeight="1" x14ac:dyDescent="0.35">
      <c r="A126" s="8" t="s">
        <v>90</v>
      </c>
      <c r="B126" s="8">
        <v>97974</v>
      </c>
      <c r="C126" s="9"/>
      <c r="D126" s="9"/>
    </row>
    <row r="127" spans="1:4" ht="17.5" customHeight="1" x14ac:dyDescent="0.35">
      <c r="A127" s="8" t="s">
        <v>89</v>
      </c>
      <c r="B127" s="8">
        <v>112969</v>
      </c>
      <c r="C127" s="9"/>
      <c r="D127" s="9"/>
    </row>
    <row r="128" spans="1:4" ht="17.5" customHeight="1" x14ac:dyDescent="0.35">
      <c r="A128" s="8" t="s">
        <v>88</v>
      </c>
      <c r="B128" s="8">
        <v>48687</v>
      </c>
      <c r="C128" s="9"/>
      <c r="D128" s="9"/>
    </row>
    <row r="129" spans="1:4" ht="17.5" customHeight="1" x14ac:dyDescent="0.35">
      <c r="A129" s="8" t="s">
        <v>87</v>
      </c>
      <c r="B129" s="8">
        <v>37805</v>
      </c>
      <c r="C129" s="9"/>
      <c r="D129" s="9"/>
    </row>
    <row r="130" spans="1:4" ht="17.5" customHeight="1" x14ac:dyDescent="0.35">
      <c r="A130" s="8" t="s">
        <v>86</v>
      </c>
      <c r="B130" s="8">
        <v>68835</v>
      </c>
      <c r="C130" s="9"/>
      <c r="D130" s="9"/>
    </row>
    <row r="131" spans="1:4" ht="17.5" customHeight="1" x14ac:dyDescent="0.35">
      <c r="A131" s="8" t="s">
        <v>85</v>
      </c>
      <c r="B131" s="8">
        <v>131287</v>
      </c>
      <c r="C131" s="9"/>
      <c r="D131" s="9"/>
    </row>
    <row r="132" spans="1:4" ht="17.5" customHeight="1" x14ac:dyDescent="0.35">
      <c r="A132" s="8" t="s">
        <v>84</v>
      </c>
      <c r="B132" s="8">
        <v>40351</v>
      </c>
      <c r="C132" s="9"/>
      <c r="D132" s="9"/>
    </row>
    <row r="133" spans="1:4" ht="17.5" customHeight="1" x14ac:dyDescent="0.35">
      <c r="A133" s="8" t="s">
        <v>83</v>
      </c>
      <c r="B133" s="8">
        <v>139181</v>
      </c>
      <c r="C133" s="9"/>
      <c r="D133" s="9"/>
    </row>
    <row r="134" spans="1:4" ht="17.5" customHeight="1" x14ac:dyDescent="0.35">
      <c r="A134" s="8" t="s">
        <v>82</v>
      </c>
      <c r="B134" s="8">
        <v>125717</v>
      </c>
      <c r="C134" s="9"/>
      <c r="D134" s="9"/>
    </row>
    <row r="135" spans="1:4" ht="17.5" customHeight="1" x14ac:dyDescent="0.35">
      <c r="A135" s="8" t="s">
        <v>81</v>
      </c>
      <c r="B135" s="8">
        <v>168352</v>
      </c>
      <c r="C135" s="9"/>
      <c r="D135" s="9"/>
    </row>
    <row r="136" spans="1:4" ht="17.5" customHeight="1" x14ac:dyDescent="0.35">
      <c r="A136" s="8" t="s">
        <v>80</v>
      </c>
      <c r="B136" s="8">
        <v>50173</v>
      </c>
      <c r="C136" s="9"/>
      <c r="D136" s="9"/>
    </row>
    <row r="137" spans="1:4" ht="17.5" customHeight="1" x14ac:dyDescent="0.35">
      <c r="A137" s="8" t="s">
        <v>79</v>
      </c>
      <c r="B137" s="8">
        <v>146295</v>
      </c>
      <c r="C137" s="9"/>
      <c r="D137" s="9"/>
    </row>
    <row r="138" spans="1:4" ht="17.5" customHeight="1" x14ac:dyDescent="0.35">
      <c r="A138" s="8" t="s">
        <v>78</v>
      </c>
      <c r="B138" s="8">
        <v>32742</v>
      </c>
      <c r="C138" s="9"/>
      <c r="D138" s="9"/>
    </row>
    <row r="139" spans="1:4" ht="17.5" customHeight="1" x14ac:dyDescent="0.35">
      <c r="A139" s="8" t="s">
        <v>77</v>
      </c>
      <c r="B139" s="8">
        <v>153877</v>
      </c>
      <c r="C139" s="9"/>
      <c r="D139" s="9"/>
    </row>
    <row r="140" spans="1:4" ht="17.5" customHeight="1" x14ac:dyDescent="0.35">
      <c r="A140" s="8" t="s">
        <v>76</v>
      </c>
      <c r="B140" s="8">
        <v>47637</v>
      </c>
      <c r="C140" s="9"/>
      <c r="D140" s="9"/>
    </row>
    <row r="141" spans="1:4" ht="17.5" customHeight="1" x14ac:dyDescent="0.35">
      <c r="A141" s="8" t="s">
        <v>75</v>
      </c>
      <c r="B141" s="8">
        <v>148135</v>
      </c>
      <c r="C141" s="9"/>
      <c r="D141" s="9"/>
    </row>
    <row r="142" spans="1:4" ht="17.5" customHeight="1" x14ac:dyDescent="0.35">
      <c r="A142" s="8" t="s">
        <v>74</v>
      </c>
      <c r="B142" s="8">
        <v>72498</v>
      </c>
      <c r="C142" s="9"/>
      <c r="D142" s="9"/>
    </row>
    <row r="143" spans="1:4" ht="17.5" customHeight="1" x14ac:dyDescent="0.35">
      <c r="A143" s="8" t="s">
        <v>73</v>
      </c>
      <c r="B143" s="8">
        <v>164136</v>
      </c>
      <c r="C143" s="9"/>
      <c r="D143" s="9"/>
    </row>
    <row r="144" spans="1:4" ht="17.5" customHeight="1" x14ac:dyDescent="0.35">
      <c r="A144" s="8" t="s">
        <v>72</v>
      </c>
      <c r="B144" s="8">
        <v>174084</v>
      </c>
      <c r="C144" s="9"/>
      <c r="D144" s="9"/>
    </row>
    <row r="145" spans="1:4" ht="17.5" customHeight="1" x14ac:dyDescent="0.35">
      <c r="A145" s="8" t="s">
        <v>71</v>
      </c>
      <c r="B145" s="8">
        <v>176079</v>
      </c>
      <c r="C145" s="9"/>
      <c r="D145" s="9"/>
    </row>
    <row r="146" spans="1:4" ht="17.5" customHeight="1" x14ac:dyDescent="0.35">
      <c r="A146" s="8" t="s">
        <v>70</v>
      </c>
      <c r="B146" s="8">
        <v>53459</v>
      </c>
      <c r="C146" s="9"/>
      <c r="D146" s="9"/>
    </row>
    <row r="147" spans="1:4" ht="17.5" customHeight="1" x14ac:dyDescent="0.35">
      <c r="A147" s="8" t="s">
        <v>69</v>
      </c>
      <c r="B147" s="8">
        <v>131730</v>
      </c>
      <c r="C147" s="9"/>
      <c r="D147" s="9"/>
    </row>
    <row r="148" spans="1:4" ht="17.5" customHeight="1" x14ac:dyDescent="0.35">
      <c r="A148" s="8" t="s">
        <v>68</v>
      </c>
      <c r="B148" s="8">
        <v>37749</v>
      </c>
      <c r="C148" s="9"/>
      <c r="D148" s="9"/>
    </row>
    <row r="149" spans="1:4" ht="17.5" customHeight="1" x14ac:dyDescent="0.35">
      <c r="A149" s="8" t="s">
        <v>67</v>
      </c>
      <c r="B149" s="8">
        <v>62603</v>
      </c>
      <c r="C149" s="9"/>
      <c r="D149" s="9"/>
    </row>
    <row r="150" spans="1:4" ht="17.5" customHeight="1" x14ac:dyDescent="0.35">
      <c r="A150" s="8" t="s">
        <v>66</v>
      </c>
      <c r="B150" s="8">
        <v>127926</v>
      </c>
      <c r="C150" s="9"/>
      <c r="D150" s="9"/>
    </row>
    <row r="151" spans="1:4" ht="17.5" customHeight="1" x14ac:dyDescent="0.35">
      <c r="A151" s="8" t="s">
        <v>65</v>
      </c>
      <c r="B151" s="8">
        <v>51796</v>
      </c>
      <c r="C151" s="9"/>
      <c r="D151" s="9"/>
    </row>
    <row r="152" spans="1:4" ht="17.5" customHeight="1" x14ac:dyDescent="0.35">
      <c r="A152" s="8" t="s">
        <v>64</v>
      </c>
      <c r="B152" s="8">
        <v>42920</v>
      </c>
      <c r="C152" s="9"/>
      <c r="D152" s="9"/>
    </row>
    <row r="153" spans="1:4" ht="17.5" customHeight="1" x14ac:dyDescent="0.35">
      <c r="A153" s="8" t="s">
        <v>63</v>
      </c>
      <c r="B153" s="8">
        <v>108042</v>
      </c>
      <c r="C153" s="9"/>
      <c r="D153" s="9"/>
    </row>
    <row r="154" spans="1:4" ht="17.5" customHeight="1" x14ac:dyDescent="0.35">
      <c r="A154" s="8" t="s">
        <v>62</v>
      </c>
      <c r="B154" s="8">
        <v>62737</v>
      </c>
      <c r="C154" s="9"/>
      <c r="D154" s="9"/>
    </row>
    <row r="155" spans="1:4" ht="17.5" customHeight="1" x14ac:dyDescent="0.35">
      <c r="A155" s="8" t="s">
        <v>61</v>
      </c>
      <c r="B155" s="8">
        <v>125728</v>
      </c>
      <c r="C155" s="9"/>
      <c r="D155" s="9"/>
    </row>
    <row r="156" spans="1:4" ht="17.5" customHeight="1" x14ac:dyDescent="0.35">
      <c r="A156" s="8" t="s">
        <v>60</v>
      </c>
      <c r="B156" s="8">
        <v>199317</v>
      </c>
      <c r="C156" s="9"/>
      <c r="D156" s="9"/>
    </row>
    <row r="157" spans="1:4" ht="17.5" customHeight="1" x14ac:dyDescent="0.35">
      <c r="A157" s="8" t="s">
        <v>59</v>
      </c>
      <c r="B157" s="8">
        <v>37775</v>
      </c>
      <c r="C157" s="9"/>
      <c r="D157" s="9"/>
    </row>
    <row r="158" spans="1:4" ht="17.5" customHeight="1" x14ac:dyDescent="0.35">
      <c r="A158" s="8" t="s">
        <v>58</v>
      </c>
      <c r="B158" s="8">
        <v>129007</v>
      </c>
      <c r="C158" s="9"/>
      <c r="D158" s="9"/>
    </row>
    <row r="159" spans="1:4" ht="17.5" customHeight="1" x14ac:dyDescent="0.35">
      <c r="A159" s="8" t="s">
        <v>57</v>
      </c>
      <c r="B159" s="8">
        <v>107147</v>
      </c>
      <c r="C159" s="9"/>
      <c r="D159" s="9"/>
    </row>
    <row r="160" spans="1:4" ht="17.5" customHeight="1" x14ac:dyDescent="0.35">
      <c r="A160" s="8" t="s">
        <v>56</v>
      </c>
      <c r="B160" s="8">
        <v>196487</v>
      </c>
      <c r="C160" s="9"/>
      <c r="D160" s="9"/>
    </row>
    <row r="161" spans="1:4" ht="17.5" customHeight="1" x14ac:dyDescent="0.35">
      <c r="A161" s="8" t="s">
        <v>55</v>
      </c>
      <c r="B161" s="8">
        <v>185492</v>
      </c>
      <c r="C161" s="9"/>
      <c r="D161" s="9"/>
    </row>
    <row r="162" spans="1:4" ht="17.5" customHeight="1" x14ac:dyDescent="0.35">
      <c r="A162" s="8" t="s">
        <v>54</v>
      </c>
      <c r="B162" s="8">
        <v>108089</v>
      </c>
      <c r="C162" s="9"/>
      <c r="D162" s="9"/>
    </row>
    <row r="163" spans="1:4" ht="17.5" customHeight="1" x14ac:dyDescent="0.35">
      <c r="A163" s="8" t="s">
        <v>53</v>
      </c>
      <c r="B163" s="8">
        <v>37787</v>
      </c>
      <c r="C163" s="9"/>
      <c r="D163" s="9"/>
    </row>
    <row r="164" spans="1:4" ht="17.5" customHeight="1" x14ac:dyDescent="0.35">
      <c r="A164" s="8" t="s">
        <v>52</v>
      </c>
      <c r="B164" s="8">
        <v>128386</v>
      </c>
      <c r="C164" s="9"/>
      <c r="D164" s="9"/>
    </row>
    <row r="165" spans="1:4" ht="17.5" customHeight="1" x14ac:dyDescent="0.35">
      <c r="A165" s="8" t="s">
        <v>51</v>
      </c>
      <c r="B165" s="8">
        <v>33439</v>
      </c>
      <c r="C165" s="9"/>
      <c r="D165" s="9"/>
    </row>
    <row r="166" spans="1:4" ht="17.5" customHeight="1" x14ac:dyDescent="0.35">
      <c r="A166" s="8" t="s">
        <v>50</v>
      </c>
      <c r="B166" s="8">
        <v>171921</v>
      </c>
      <c r="C166" s="9"/>
      <c r="D166" s="9"/>
    </row>
    <row r="167" spans="1:4" ht="17.5" customHeight="1" x14ac:dyDescent="0.35">
      <c r="A167" s="8" t="s">
        <v>49</v>
      </c>
      <c r="B167" s="8">
        <v>147668</v>
      </c>
      <c r="C167" s="9"/>
      <c r="D167" s="9"/>
    </row>
    <row r="168" spans="1:4" ht="17.5" customHeight="1" x14ac:dyDescent="0.35">
      <c r="A168" s="8" t="s">
        <v>48</v>
      </c>
      <c r="B168" s="8">
        <v>146524</v>
      </c>
      <c r="C168" s="9"/>
      <c r="D168" s="9"/>
    </row>
    <row r="169" spans="1:4" ht="17.5" customHeight="1" x14ac:dyDescent="0.35">
      <c r="A169" s="8" t="s">
        <v>47</v>
      </c>
      <c r="B169" s="8">
        <v>66457</v>
      </c>
      <c r="C169" s="9"/>
      <c r="D169" s="9"/>
    </row>
    <row r="170" spans="1:4" ht="17.5" customHeight="1" x14ac:dyDescent="0.35">
      <c r="A170" s="8" t="s">
        <v>46</v>
      </c>
      <c r="B170" s="8">
        <v>187821</v>
      </c>
      <c r="C170" s="9"/>
      <c r="D170" s="9"/>
    </row>
    <row r="171" spans="1:4" ht="17.5" customHeight="1" x14ac:dyDescent="0.35">
      <c r="A171" s="8" t="s">
        <v>45</v>
      </c>
      <c r="B171" s="8">
        <v>181205</v>
      </c>
      <c r="C171" s="9"/>
      <c r="D171" s="9"/>
    </row>
    <row r="172" spans="1:4" ht="17.5" customHeight="1" x14ac:dyDescent="0.35">
      <c r="A172" s="8" t="s">
        <v>44</v>
      </c>
      <c r="B172" s="8">
        <v>149926</v>
      </c>
      <c r="C172" s="9"/>
      <c r="D172" s="9"/>
    </row>
    <row r="173" spans="1:4" ht="17.5" customHeight="1" x14ac:dyDescent="0.35">
      <c r="A173" s="8" t="s">
        <v>43</v>
      </c>
      <c r="B173" s="8">
        <v>110934</v>
      </c>
      <c r="C173" s="9"/>
      <c r="D173" s="9"/>
    </row>
    <row r="174" spans="1:4" ht="17.5" customHeight="1" x14ac:dyDescent="0.35">
      <c r="A174" s="8" t="s">
        <v>42</v>
      </c>
      <c r="B174" s="8">
        <v>133332</v>
      </c>
      <c r="C174" s="9"/>
      <c r="D174" s="9"/>
    </row>
    <row r="175" spans="1:4" ht="17.5" customHeight="1" x14ac:dyDescent="0.35">
      <c r="A175" s="8" t="s">
        <v>41</v>
      </c>
      <c r="B175" s="8">
        <v>140346</v>
      </c>
      <c r="C175" s="9"/>
      <c r="D175" s="9"/>
    </row>
    <row r="176" spans="1:4" ht="17.5" customHeight="1" x14ac:dyDescent="0.35">
      <c r="A176" s="8" t="s">
        <v>40</v>
      </c>
      <c r="B176" s="8">
        <v>153035</v>
      </c>
      <c r="C176" s="9"/>
      <c r="D176" s="9"/>
    </row>
    <row r="177" spans="1:4" ht="17.5" customHeight="1" x14ac:dyDescent="0.35">
      <c r="A177" s="8" t="s">
        <v>39</v>
      </c>
      <c r="B177" s="8">
        <v>95722</v>
      </c>
      <c r="C177" s="9"/>
      <c r="D177" s="9"/>
    </row>
    <row r="178" spans="1:4" ht="17.5" customHeight="1" x14ac:dyDescent="0.35">
      <c r="A178" s="8" t="s">
        <v>38</v>
      </c>
      <c r="B178" s="8">
        <v>43074</v>
      </c>
      <c r="C178" s="9"/>
      <c r="D178" s="9"/>
    </row>
    <row r="179" spans="1:4" ht="17.5" customHeight="1" x14ac:dyDescent="0.35">
      <c r="A179" s="8" t="s">
        <v>37</v>
      </c>
      <c r="B179" s="8">
        <v>51605</v>
      </c>
      <c r="C179" s="9"/>
      <c r="D179" s="9"/>
    </row>
    <row r="180" spans="1:4" ht="17.5" customHeight="1" x14ac:dyDescent="0.35">
      <c r="A180" s="8" t="s">
        <v>36</v>
      </c>
      <c r="B180" s="8">
        <v>87344</v>
      </c>
      <c r="C180" s="9"/>
      <c r="D180" s="9"/>
    </row>
    <row r="181" spans="1:4" ht="17.5" customHeight="1" x14ac:dyDescent="0.35">
      <c r="A181" s="8" t="s">
        <v>35</v>
      </c>
      <c r="B181" s="8">
        <v>40615</v>
      </c>
      <c r="C181" s="9"/>
      <c r="D181" s="9"/>
    </row>
    <row r="182" spans="1:4" ht="17.5" customHeight="1" x14ac:dyDescent="0.35">
      <c r="A182" s="8" t="s">
        <v>34</v>
      </c>
      <c r="B182" s="8">
        <v>76375</v>
      </c>
      <c r="C182" s="9"/>
      <c r="D182" s="9"/>
    </row>
    <row r="183" spans="1:4" ht="17.5" customHeight="1" x14ac:dyDescent="0.35">
      <c r="A183" s="8" t="s">
        <v>33</v>
      </c>
      <c r="B183" s="8">
        <v>140049</v>
      </c>
      <c r="C183" s="9"/>
      <c r="D183" s="9"/>
    </row>
    <row r="184" spans="1:4" ht="17.5" customHeight="1" x14ac:dyDescent="0.35">
      <c r="A184" s="8" t="s">
        <v>32</v>
      </c>
      <c r="B184" s="8">
        <v>168232</v>
      </c>
      <c r="C184" s="9"/>
      <c r="D184" s="9"/>
    </row>
    <row r="185" spans="1:4" ht="17.5" customHeight="1" x14ac:dyDescent="0.35">
      <c r="A185" s="8" t="s">
        <v>31</v>
      </c>
      <c r="B185" s="8">
        <v>124526</v>
      </c>
      <c r="C185" s="9"/>
      <c r="D185" s="9"/>
    </row>
    <row r="186" spans="1:4" ht="17.5" customHeight="1" x14ac:dyDescent="0.35">
      <c r="A186" s="8" t="s">
        <v>30</v>
      </c>
      <c r="B186" s="8">
        <v>83522</v>
      </c>
      <c r="C186" s="9"/>
      <c r="D186" s="9"/>
    </row>
    <row r="187" spans="1:4" ht="17.5" customHeight="1" x14ac:dyDescent="0.35">
      <c r="A187" s="8" t="s">
        <v>29</v>
      </c>
      <c r="B187" s="8">
        <v>160967</v>
      </c>
      <c r="C187" s="9"/>
      <c r="D187" s="9"/>
    </row>
    <row r="188" spans="1:4" ht="17.5" customHeight="1" x14ac:dyDescent="0.35">
      <c r="A188" s="8" t="s">
        <v>28</v>
      </c>
      <c r="B188" s="8">
        <v>176140</v>
      </c>
      <c r="C188" s="9"/>
      <c r="D188" s="9"/>
    </row>
    <row r="189" spans="1:4" ht="17.5" customHeight="1" x14ac:dyDescent="0.35">
      <c r="A189" s="8" t="s">
        <v>27</v>
      </c>
      <c r="B189" s="8">
        <v>58288</v>
      </c>
      <c r="C189" s="9"/>
      <c r="D189" s="9"/>
    </row>
    <row r="190" spans="1:4" ht="17.5" customHeight="1" x14ac:dyDescent="0.35">
      <c r="A190" s="8" t="s">
        <v>26</v>
      </c>
      <c r="B190" s="8">
        <v>154355</v>
      </c>
      <c r="C190" s="9"/>
      <c r="D190" s="9"/>
    </row>
    <row r="191" spans="1:4" ht="17.5" customHeight="1" x14ac:dyDescent="0.35">
      <c r="A191" s="8" t="s">
        <v>25</v>
      </c>
      <c r="B191" s="8">
        <v>65876</v>
      </c>
      <c r="C191" s="9"/>
      <c r="D191" s="9"/>
    </row>
    <row r="192" spans="1:4" ht="17.5" customHeight="1" x14ac:dyDescent="0.35">
      <c r="A192" s="8" t="s">
        <v>24</v>
      </c>
      <c r="B192" s="8">
        <v>189873</v>
      </c>
      <c r="C192" s="9"/>
      <c r="D192" s="9"/>
    </row>
    <row r="193" spans="1:4" ht="17.5" customHeight="1" x14ac:dyDescent="0.35">
      <c r="A193" s="8" t="s">
        <v>23</v>
      </c>
      <c r="B193" s="8">
        <v>182965</v>
      </c>
      <c r="C193" s="9"/>
      <c r="D193" s="9"/>
    </row>
    <row r="194" spans="1:4" ht="17.5" customHeight="1" x14ac:dyDescent="0.35">
      <c r="A194" s="8" t="s">
        <v>22</v>
      </c>
      <c r="B194" s="8">
        <v>78841</v>
      </c>
      <c r="C194" s="9"/>
      <c r="D194" s="9"/>
    </row>
    <row r="195" spans="1:4" ht="17.5" customHeight="1" x14ac:dyDescent="0.35">
      <c r="A195" s="8" t="s">
        <v>21</v>
      </c>
      <c r="B195" s="8">
        <v>138511</v>
      </c>
      <c r="C195" s="9"/>
      <c r="D195" s="9"/>
    </row>
    <row r="196" spans="1:4" ht="17.5" customHeight="1" x14ac:dyDescent="0.35">
      <c r="A196" s="8" t="s">
        <v>20</v>
      </c>
      <c r="B196" s="8">
        <v>135285</v>
      </c>
      <c r="C196" s="9"/>
      <c r="D196" s="9"/>
    </row>
    <row r="197" spans="1:4" ht="17.5" customHeight="1" x14ac:dyDescent="0.35">
      <c r="A197" s="8" t="s">
        <v>19</v>
      </c>
      <c r="B197" s="8">
        <v>104061</v>
      </c>
      <c r="C197" s="9"/>
      <c r="D197" s="9"/>
    </row>
    <row r="198" spans="1:4" ht="17.5" customHeight="1" x14ac:dyDescent="0.35">
      <c r="A198" s="8" t="s">
        <v>18</v>
      </c>
      <c r="B198" s="8">
        <v>180815</v>
      </c>
      <c r="C198" s="9"/>
      <c r="D198" s="9"/>
    </row>
    <row r="199" spans="1:4" ht="17.5" customHeight="1" x14ac:dyDescent="0.35">
      <c r="A199" s="8" t="s">
        <v>17</v>
      </c>
      <c r="B199" s="8">
        <v>154582</v>
      </c>
      <c r="C199" s="9"/>
      <c r="D199" s="9"/>
    </row>
    <row r="200" spans="1:4" ht="17.5" customHeight="1" x14ac:dyDescent="0.35">
      <c r="A200" s="8" t="s">
        <v>16</v>
      </c>
      <c r="B200" s="8">
        <v>85630</v>
      </c>
      <c r="C200" s="9"/>
      <c r="D200" s="9"/>
    </row>
    <row r="201" spans="1:4" ht="17.5" customHeight="1" x14ac:dyDescent="0.35">
      <c r="A201" s="8" t="s">
        <v>15</v>
      </c>
      <c r="B201" s="8">
        <v>153310</v>
      </c>
      <c r="C201" s="9"/>
      <c r="D201" s="9"/>
    </row>
    <row r="202" spans="1:4" ht="17.5" customHeight="1" x14ac:dyDescent="0.35">
      <c r="A202" s="8" t="s">
        <v>14</v>
      </c>
      <c r="B202" s="8">
        <v>167871</v>
      </c>
      <c r="C202" s="9"/>
      <c r="D202" s="9"/>
    </row>
  </sheetData>
  <mergeCells count="1">
    <mergeCell ref="A1: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715DF-DB4E-4DC5-8530-2DB85805A144}">
  <dimension ref="A1:H202"/>
  <sheetViews>
    <sheetView zoomScaleNormal="100" workbookViewId="0">
      <selection sqref="A1:D1"/>
    </sheetView>
  </sheetViews>
  <sheetFormatPr defaultRowHeight="14.5" x14ac:dyDescent="0.35"/>
  <cols>
    <col min="1" max="2" width="22.08984375" customWidth="1"/>
    <col min="3" max="4" width="24.81640625" customWidth="1"/>
    <col min="5" max="5" width="9" customWidth="1"/>
    <col min="6" max="6" width="31.08984375" customWidth="1"/>
    <col min="7" max="7" width="5.6328125" customWidth="1"/>
    <col min="8" max="8" width="16.54296875" customWidth="1"/>
  </cols>
  <sheetData>
    <row r="1" spans="1:8" ht="43.5" customHeight="1" thickBot="1" x14ac:dyDescent="0.4">
      <c r="A1" s="10" t="s">
        <v>0</v>
      </c>
      <c r="B1" s="10"/>
      <c r="C1" s="10"/>
      <c r="D1" s="10"/>
    </row>
    <row r="2" spans="1:8" ht="23" customHeight="1" thickBot="1" x14ac:dyDescent="0.4">
      <c r="A2" s="1" t="s">
        <v>1</v>
      </c>
      <c r="B2" s="1" t="s">
        <v>202</v>
      </c>
      <c r="C2" s="7" t="s">
        <v>203</v>
      </c>
      <c r="D2" s="7" t="s">
        <v>204</v>
      </c>
      <c r="F2" s="2" t="s">
        <v>205</v>
      </c>
      <c r="H2" s="2" t="s">
        <v>208</v>
      </c>
    </row>
    <row r="3" spans="1:8" ht="17.5" customHeight="1" thickBot="1" x14ac:dyDescent="0.4">
      <c r="A3" s="8" t="s">
        <v>2</v>
      </c>
      <c r="B3" s="8">
        <v>110630</v>
      </c>
      <c r="C3" s="9">
        <f t="shared" ref="C3:C34" si="0">B3*Commision</f>
        <v>5531.5</v>
      </c>
      <c r="D3" s="9">
        <f t="shared" ref="D3:D34" si="1">B3*Tax</f>
        <v>27657.5</v>
      </c>
      <c r="F3" s="3">
        <f>SUM(Sales_Revenue_2019)</f>
        <v>22886090</v>
      </c>
      <c r="H3" s="6">
        <v>0.05</v>
      </c>
    </row>
    <row r="4" spans="1:8" ht="17.5" customHeight="1" thickBot="1" x14ac:dyDescent="0.4">
      <c r="A4" s="8" t="s">
        <v>3</v>
      </c>
      <c r="B4" s="8">
        <v>32737</v>
      </c>
      <c r="C4" s="9">
        <f t="shared" si="0"/>
        <v>1636.8500000000001</v>
      </c>
      <c r="D4" s="9">
        <f t="shared" si="1"/>
        <v>8184.25</v>
      </c>
    </row>
    <row r="5" spans="1:8" ht="17.5" customHeight="1" thickBot="1" x14ac:dyDescent="0.4">
      <c r="A5" s="8" t="s">
        <v>4</v>
      </c>
      <c r="B5" s="8">
        <v>193111</v>
      </c>
      <c r="C5" s="9">
        <f t="shared" si="0"/>
        <v>9655.5500000000011</v>
      </c>
      <c r="D5" s="9">
        <f t="shared" si="1"/>
        <v>48277.75</v>
      </c>
      <c r="F5" s="2" t="s">
        <v>206</v>
      </c>
      <c r="H5" s="2" t="s">
        <v>209</v>
      </c>
    </row>
    <row r="6" spans="1:8" ht="17.5" customHeight="1" thickBot="1" x14ac:dyDescent="0.4">
      <c r="A6" s="8" t="s">
        <v>5</v>
      </c>
      <c r="B6" s="8">
        <v>210000</v>
      </c>
      <c r="C6" s="9">
        <f t="shared" si="0"/>
        <v>10500</v>
      </c>
      <c r="D6" s="9">
        <f t="shared" si="1"/>
        <v>52500</v>
      </c>
      <c r="F6" s="4">
        <f>MAX(Total_Commision_2019)</f>
        <v>10500</v>
      </c>
      <c r="H6" s="6">
        <v>0.25</v>
      </c>
    </row>
    <row r="7" spans="1:8" ht="17.5" customHeight="1" thickBot="1" x14ac:dyDescent="0.4">
      <c r="A7" s="8" t="s">
        <v>6</v>
      </c>
      <c r="B7" s="8">
        <v>61959</v>
      </c>
      <c r="C7" s="9">
        <f t="shared" si="0"/>
        <v>3097.9500000000003</v>
      </c>
      <c r="D7" s="9">
        <f t="shared" si="1"/>
        <v>15489.75</v>
      </c>
    </row>
    <row r="8" spans="1:8" ht="17.5" customHeight="1" thickBot="1" x14ac:dyDescent="0.4">
      <c r="A8" s="8" t="s">
        <v>7</v>
      </c>
      <c r="B8" s="8">
        <v>110426</v>
      </c>
      <c r="C8" s="9">
        <f t="shared" si="0"/>
        <v>5521.3</v>
      </c>
      <c r="D8" s="9">
        <f t="shared" si="1"/>
        <v>27606.5</v>
      </c>
      <c r="F8" s="2" t="s">
        <v>207</v>
      </c>
    </row>
    <row r="9" spans="1:8" ht="17.5" customHeight="1" thickBot="1" x14ac:dyDescent="0.4">
      <c r="A9" s="8" t="s">
        <v>8</v>
      </c>
      <c r="B9" s="8">
        <v>125274</v>
      </c>
      <c r="C9" s="9">
        <f t="shared" si="0"/>
        <v>6263.7000000000007</v>
      </c>
      <c r="D9" s="9">
        <f t="shared" si="1"/>
        <v>31318.5</v>
      </c>
      <c r="F9" s="5">
        <f>AVERAGE(Tax_Payable_2019)</f>
        <v>28607.612499999999</v>
      </c>
    </row>
    <row r="10" spans="1:8" ht="17.5" customHeight="1" x14ac:dyDescent="0.35">
      <c r="A10" s="8" t="s">
        <v>9</v>
      </c>
      <c r="B10" s="8">
        <v>170030</v>
      </c>
      <c r="C10" s="9">
        <f t="shared" si="0"/>
        <v>8501.5</v>
      </c>
      <c r="D10" s="9">
        <f t="shared" si="1"/>
        <v>42507.5</v>
      </c>
    </row>
    <row r="11" spans="1:8" ht="17.5" customHeight="1" x14ac:dyDescent="0.35">
      <c r="A11" s="8" t="s">
        <v>10</v>
      </c>
      <c r="B11" s="8">
        <v>147978</v>
      </c>
      <c r="C11" s="9">
        <f t="shared" si="0"/>
        <v>7398.9000000000005</v>
      </c>
      <c r="D11" s="9">
        <f t="shared" si="1"/>
        <v>36994.5</v>
      </c>
    </row>
    <row r="12" spans="1:8" ht="17.5" customHeight="1" x14ac:dyDescent="0.35">
      <c r="A12" s="8" t="s">
        <v>11</v>
      </c>
      <c r="B12" s="8">
        <v>182437</v>
      </c>
      <c r="C12" s="9">
        <f t="shared" si="0"/>
        <v>9121.85</v>
      </c>
      <c r="D12" s="9">
        <f t="shared" si="1"/>
        <v>45609.25</v>
      </c>
    </row>
    <row r="13" spans="1:8" ht="17.5" customHeight="1" x14ac:dyDescent="0.35">
      <c r="A13" s="8" t="s">
        <v>12</v>
      </c>
      <c r="B13" s="8">
        <v>109435</v>
      </c>
      <c r="C13" s="9">
        <f t="shared" si="0"/>
        <v>5471.75</v>
      </c>
      <c r="D13" s="9">
        <f t="shared" si="1"/>
        <v>27358.75</v>
      </c>
    </row>
    <row r="14" spans="1:8" ht="17.5" customHeight="1" x14ac:dyDescent="0.35">
      <c r="A14" s="8" t="s">
        <v>13</v>
      </c>
      <c r="B14" s="8">
        <v>130085</v>
      </c>
      <c r="C14" s="9">
        <f t="shared" si="0"/>
        <v>6504.25</v>
      </c>
      <c r="D14" s="9">
        <f t="shared" si="1"/>
        <v>32521.25</v>
      </c>
    </row>
    <row r="15" spans="1:8" ht="17.5" customHeight="1" x14ac:dyDescent="0.35">
      <c r="A15" s="8" t="s">
        <v>201</v>
      </c>
      <c r="B15" s="8">
        <v>147122</v>
      </c>
      <c r="C15" s="9">
        <f t="shared" si="0"/>
        <v>7356.1</v>
      </c>
      <c r="D15" s="9">
        <f t="shared" si="1"/>
        <v>36780.5</v>
      </c>
    </row>
    <row r="16" spans="1:8" ht="17.5" customHeight="1" x14ac:dyDescent="0.35">
      <c r="A16" s="8" t="s">
        <v>200</v>
      </c>
      <c r="B16" s="8">
        <v>125542</v>
      </c>
      <c r="C16" s="9">
        <f t="shared" si="0"/>
        <v>6277.1</v>
      </c>
      <c r="D16" s="9">
        <f t="shared" si="1"/>
        <v>31385.5</v>
      </c>
    </row>
    <row r="17" spans="1:4" ht="17.5" customHeight="1" x14ac:dyDescent="0.35">
      <c r="A17" s="8" t="s">
        <v>199</v>
      </c>
      <c r="B17" s="8">
        <v>76744</v>
      </c>
      <c r="C17" s="9">
        <f t="shared" si="0"/>
        <v>3837.2000000000003</v>
      </c>
      <c r="D17" s="9">
        <f t="shared" si="1"/>
        <v>19186</v>
      </c>
    </row>
    <row r="18" spans="1:4" ht="17.5" customHeight="1" x14ac:dyDescent="0.35">
      <c r="A18" s="8" t="s">
        <v>198</v>
      </c>
      <c r="B18" s="8">
        <v>96803</v>
      </c>
      <c r="C18" s="9">
        <f t="shared" si="0"/>
        <v>4840.1500000000005</v>
      </c>
      <c r="D18" s="9">
        <f t="shared" si="1"/>
        <v>24200.75</v>
      </c>
    </row>
    <row r="19" spans="1:4" ht="17.5" customHeight="1" x14ac:dyDescent="0.35">
      <c r="A19" s="8" t="s">
        <v>197</v>
      </c>
      <c r="B19" s="8">
        <v>31986</v>
      </c>
      <c r="C19" s="9">
        <f t="shared" si="0"/>
        <v>1599.3000000000002</v>
      </c>
      <c r="D19" s="9">
        <f t="shared" si="1"/>
        <v>7996.5</v>
      </c>
    </row>
    <row r="20" spans="1:4" ht="17.5" customHeight="1" x14ac:dyDescent="0.35">
      <c r="A20" s="8" t="s">
        <v>196</v>
      </c>
      <c r="B20" s="8">
        <v>30470</v>
      </c>
      <c r="C20" s="9">
        <f t="shared" si="0"/>
        <v>1523.5</v>
      </c>
      <c r="D20" s="9">
        <f t="shared" si="1"/>
        <v>7617.5</v>
      </c>
    </row>
    <row r="21" spans="1:4" ht="17.5" customHeight="1" x14ac:dyDescent="0.35">
      <c r="A21" s="8" t="s">
        <v>195</v>
      </c>
      <c r="B21" s="8">
        <v>181258</v>
      </c>
      <c r="C21" s="9">
        <f t="shared" si="0"/>
        <v>9062.9</v>
      </c>
      <c r="D21" s="9">
        <f t="shared" si="1"/>
        <v>45314.5</v>
      </c>
    </row>
    <row r="22" spans="1:4" ht="17.5" customHeight="1" x14ac:dyDescent="0.35">
      <c r="A22" s="8" t="s">
        <v>194</v>
      </c>
      <c r="B22" s="8">
        <v>94508</v>
      </c>
      <c r="C22" s="9">
        <f t="shared" si="0"/>
        <v>4725.4000000000005</v>
      </c>
      <c r="D22" s="9">
        <f t="shared" si="1"/>
        <v>23627</v>
      </c>
    </row>
    <row r="23" spans="1:4" ht="17.5" customHeight="1" x14ac:dyDescent="0.35">
      <c r="A23" s="8" t="s">
        <v>193</v>
      </c>
      <c r="B23" s="8">
        <v>105227</v>
      </c>
      <c r="C23" s="9">
        <f t="shared" si="0"/>
        <v>5261.35</v>
      </c>
      <c r="D23" s="9">
        <f t="shared" si="1"/>
        <v>26306.75</v>
      </c>
    </row>
    <row r="24" spans="1:4" ht="17.5" customHeight="1" x14ac:dyDescent="0.35">
      <c r="A24" s="8" t="s">
        <v>192</v>
      </c>
      <c r="B24" s="8">
        <v>170153</v>
      </c>
      <c r="C24" s="9">
        <f t="shared" si="0"/>
        <v>8507.65</v>
      </c>
      <c r="D24" s="9">
        <f t="shared" si="1"/>
        <v>42538.25</v>
      </c>
    </row>
    <row r="25" spans="1:4" ht="17.5" customHeight="1" x14ac:dyDescent="0.35">
      <c r="A25" s="8" t="s">
        <v>191</v>
      </c>
      <c r="B25" s="8">
        <v>42445</v>
      </c>
      <c r="C25" s="9">
        <f t="shared" si="0"/>
        <v>2122.25</v>
      </c>
      <c r="D25" s="9">
        <f t="shared" si="1"/>
        <v>10611.25</v>
      </c>
    </row>
    <row r="26" spans="1:4" ht="17.5" customHeight="1" x14ac:dyDescent="0.35">
      <c r="A26" s="8" t="s">
        <v>190</v>
      </c>
      <c r="B26" s="8">
        <v>58066</v>
      </c>
      <c r="C26" s="9">
        <f t="shared" si="0"/>
        <v>2903.3</v>
      </c>
      <c r="D26" s="9">
        <f t="shared" si="1"/>
        <v>14516.5</v>
      </c>
    </row>
    <row r="27" spans="1:4" ht="17.5" customHeight="1" x14ac:dyDescent="0.35">
      <c r="A27" s="8" t="s">
        <v>189</v>
      </c>
      <c r="B27" s="8">
        <v>189990</v>
      </c>
      <c r="C27" s="9">
        <f t="shared" si="0"/>
        <v>9499.5</v>
      </c>
      <c r="D27" s="9">
        <f t="shared" si="1"/>
        <v>47497.5</v>
      </c>
    </row>
    <row r="28" spans="1:4" ht="17.5" customHeight="1" x14ac:dyDescent="0.35">
      <c r="A28" s="8" t="s">
        <v>188</v>
      </c>
      <c r="B28" s="8">
        <v>31443</v>
      </c>
      <c r="C28" s="9">
        <f t="shared" si="0"/>
        <v>1572.15</v>
      </c>
      <c r="D28" s="9">
        <f t="shared" si="1"/>
        <v>7860.75</v>
      </c>
    </row>
    <row r="29" spans="1:4" ht="17.5" customHeight="1" x14ac:dyDescent="0.35">
      <c r="A29" s="8" t="s">
        <v>187</v>
      </c>
      <c r="B29" s="8">
        <v>41322</v>
      </c>
      <c r="C29" s="9">
        <f t="shared" si="0"/>
        <v>2066.1</v>
      </c>
      <c r="D29" s="9">
        <f t="shared" si="1"/>
        <v>10330.5</v>
      </c>
    </row>
    <row r="30" spans="1:4" ht="17.5" customHeight="1" x14ac:dyDescent="0.35">
      <c r="A30" s="8" t="s">
        <v>186</v>
      </c>
      <c r="B30" s="8">
        <v>71205</v>
      </c>
      <c r="C30" s="9">
        <f t="shared" si="0"/>
        <v>3560.25</v>
      </c>
      <c r="D30" s="9">
        <f t="shared" si="1"/>
        <v>17801.25</v>
      </c>
    </row>
    <row r="31" spans="1:4" ht="17.5" customHeight="1" x14ac:dyDescent="0.35">
      <c r="A31" s="8" t="s">
        <v>185</v>
      </c>
      <c r="B31" s="8">
        <v>105062</v>
      </c>
      <c r="C31" s="9">
        <f t="shared" si="0"/>
        <v>5253.1</v>
      </c>
      <c r="D31" s="9">
        <f t="shared" si="1"/>
        <v>26265.5</v>
      </c>
    </row>
    <row r="32" spans="1:4" ht="17.5" customHeight="1" x14ac:dyDescent="0.35">
      <c r="A32" s="8" t="s">
        <v>184</v>
      </c>
      <c r="B32" s="8">
        <v>57314</v>
      </c>
      <c r="C32" s="9">
        <f t="shared" si="0"/>
        <v>2865.7000000000003</v>
      </c>
      <c r="D32" s="9">
        <f t="shared" si="1"/>
        <v>14328.5</v>
      </c>
    </row>
    <row r="33" spans="1:4" ht="17.5" customHeight="1" x14ac:dyDescent="0.35">
      <c r="A33" s="8" t="s">
        <v>183</v>
      </c>
      <c r="B33" s="8">
        <v>55349</v>
      </c>
      <c r="C33" s="9">
        <f t="shared" si="0"/>
        <v>2767.4500000000003</v>
      </c>
      <c r="D33" s="9">
        <f t="shared" si="1"/>
        <v>13837.25</v>
      </c>
    </row>
    <row r="34" spans="1:4" ht="17.5" customHeight="1" x14ac:dyDescent="0.35">
      <c r="A34" s="8" t="s">
        <v>182</v>
      </c>
      <c r="B34" s="8">
        <v>183424</v>
      </c>
      <c r="C34" s="9">
        <f t="shared" si="0"/>
        <v>9171.2000000000007</v>
      </c>
      <c r="D34" s="9">
        <f t="shared" si="1"/>
        <v>45856</v>
      </c>
    </row>
    <row r="35" spans="1:4" ht="17.5" customHeight="1" x14ac:dyDescent="0.35">
      <c r="A35" s="8" t="s">
        <v>181</v>
      </c>
      <c r="B35" s="8">
        <v>180229</v>
      </c>
      <c r="C35" s="9">
        <f t="shared" ref="C35:C66" si="2">B35*Commision</f>
        <v>9011.4500000000007</v>
      </c>
      <c r="D35" s="9">
        <f t="shared" ref="D35:D66" si="3">B35*Tax</f>
        <v>45057.25</v>
      </c>
    </row>
    <row r="36" spans="1:4" ht="17.5" customHeight="1" x14ac:dyDescent="0.35">
      <c r="A36" s="8" t="s">
        <v>180</v>
      </c>
      <c r="B36" s="8">
        <v>107861</v>
      </c>
      <c r="C36" s="9">
        <f t="shared" si="2"/>
        <v>5393.05</v>
      </c>
      <c r="D36" s="9">
        <f t="shared" si="3"/>
        <v>26965.25</v>
      </c>
    </row>
    <row r="37" spans="1:4" ht="17.5" customHeight="1" x14ac:dyDescent="0.35">
      <c r="A37" s="8" t="s">
        <v>179</v>
      </c>
      <c r="B37" s="8">
        <v>185389</v>
      </c>
      <c r="C37" s="9">
        <f t="shared" si="2"/>
        <v>9269.4500000000007</v>
      </c>
      <c r="D37" s="9">
        <f t="shared" si="3"/>
        <v>46347.25</v>
      </c>
    </row>
    <row r="38" spans="1:4" ht="17.5" customHeight="1" x14ac:dyDescent="0.35">
      <c r="A38" s="8" t="s">
        <v>178</v>
      </c>
      <c r="B38" s="8">
        <v>174332</v>
      </c>
      <c r="C38" s="9">
        <f t="shared" si="2"/>
        <v>8716.6</v>
      </c>
      <c r="D38" s="9">
        <f t="shared" si="3"/>
        <v>43583</v>
      </c>
    </row>
    <row r="39" spans="1:4" ht="17.5" customHeight="1" x14ac:dyDescent="0.35">
      <c r="A39" s="8" t="s">
        <v>177</v>
      </c>
      <c r="B39" s="8">
        <v>118953</v>
      </c>
      <c r="C39" s="9">
        <f t="shared" si="2"/>
        <v>5947.6500000000005</v>
      </c>
      <c r="D39" s="9">
        <f t="shared" si="3"/>
        <v>29738.25</v>
      </c>
    </row>
    <row r="40" spans="1:4" ht="17.5" customHeight="1" x14ac:dyDescent="0.35">
      <c r="A40" s="8" t="s">
        <v>176</v>
      </c>
      <c r="B40" s="8">
        <v>188063</v>
      </c>
      <c r="C40" s="9">
        <f t="shared" si="2"/>
        <v>9403.15</v>
      </c>
      <c r="D40" s="9">
        <f t="shared" si="3"/>
        <v>47015.75</v>
      </c>
    </row>
    <row r="41" spans="1:4" ht="17.5" customHeight="1" x14ac:dyDescent="0.35">
      <c r="A41" s="8" t="s">
        <v>175</v>
      </c>
      <c r="B41" s="8">
        <v>65389</v>
      </c>
      <c r="C41" s="9">
        <f t="shared" si="2"/>
        <v>3269.4500000000003</v>
      </c>
      <c r="D41" s="9">
        <f t="shared" si="3"/>
        <v>16347.25</v>
      </c>
    </row>
    <row r="42" spans="1:4" ht="17.5" customHeight="1" x14ac:dyDescent="0.35">
      <c r="A42" s="8" t="s">
        <v>174</v>
      </c>
      <c r="B42" s="8">
        <v>110709</v>
      </c>
      <c r="C42" s="9">
        <f t="shared" si="2"/>
        <v>5535.4500000000007</v>
      </c>
      <c r="D42" s="9">
        <f t="shared" si="3"/>
        <v>27677.25</v>
      </c>
    </row>
    <row r="43" spans="1:4" ht="17.5" customHeight="1" x14ac:dyDescent="0.35">
      <c r="A43" s="8" t="s">
        <v>173</v>
      </c>
      <c r="B43" s="8">
        <v>154498</v>
      </c>
      <c r="C43" s="9">
        <f t="shared" si="2"/>
        <v>7724.9000000000005</v>
      </c>
      <c r="D43" s="9">
        <f t="shared" si="3"/>
        <v>38624.5</v>
      </c>
    </row>
    <row r="44" spans="1:4" ht="17.5" customHeight="1" x14ac:dyDescent="0.35">
      <c r="A44" s="8" t="s">
        <v>172</v>
      </c>
      <c r="B44" s="8">
        <v>35017</v>
      </c>
      <c r="C44" s="9">
        <f t="shared" si="2"/>
        <v>1750.8500000000001</v>
      </c>
      <c r="D44" s="9">
        <f t="shared" si="3"/>
        <v>8754.25</v>
      </c>
    </row>
    <row r="45" spans="1:4" ht="17.5" customHeight="1" x14ac:dyDescent="0.35">
      <c r="A45" s="8" t="s">
        <v>171</v>
      </c>
      <c r="B45" s="8">
        <v>32943</v>
      </c>
      <c r="C45" s="9">
        <f t="shared" si="2"/>
        <v>1647.15</v>
      </c>
      <c r="D45" s="9">
        <f t="shared" si="3"/>
        <v>8235.75</v>
      </c>
    </row>
    <row r="46" spans="1:4" ht="17.5" customHeight="1" x14ac:dyDescent="0.35">
      <c r="A46" s="8" t="s">
        <v>170</v>
      </c>
      <c r="B46" s="8">
        <v>171394</v>
      </c>
      <c r="C46" s="9">
        <f t="shared" si="2"/>
        <v>8569.7000000000007</v>
      </c>
      <c r="D46" s="9">
        <f t="shared" si="3"/>
        <v>42848.5</v>
      </c>
    </row>
    <row r="47" spans="1:4" ht="17.5" customHeight="1" x14ac:dyDescent="0.35">
      <c r="A47" s="8" t="s">
        <v>169</v>
      </c>
      <c r="B47" s="8">
        <v>71601</v>
      </c>
      <c r="C47" s="9">
        <f t="shared" si="2"/>
        <v>3580.05</v>
      </c>
      <c r="D47" s="9">
        <f t="shared" si="3"/>
        <v>17900.25</v>
      </c>
    </row>
    <row r="48" spans="1:4" ht="17.5" customHeight="1" x14ac:dyDescent="0.35">
      <c r="A48" s="8" t="s">
        <v>168</v>
      </c>
      <c r="B48" s="8">
        <v>77294</v>
      </c>
      <c r="C48" s="9">
        <f t="shared" si="2"/>
        <v>3864.7000000000003</v>
      </c>
      <c r="D48" s="9">
        <f t="shared" si="3"/>
        <v>19323.5</v>
      </c>
    </row>
    <row r="49" spans="1:4" ht="17.5" customHeight="1" x14ac:dyDescent="0.35">
      <c r="A49" s="8" t="s">
        <v>167</v>
      </c>
      <c r="B49" s="8">
        <v>164433</v>
      </c>
      <c r="C49" s="9">
        <f t="shared" si="2"/>
        <v>8221.65</v>
      </c>
      <c r="D49" s="9">
        <f t="shared" si="3"/>
        <v>41108.25</v>
      </c>
    </row>
    <row r="50" spans="1:4" ht="17.5" customHeight="1" x14ac:dyDescent="0.35">
      <c r="A50" s="8" t="s">
        <v>166</v>
      </c>
      <c r="B50" s="8">
        <v>136268</v>
      </c>
      <c r="C50" s="9">
        <f t="shared" si="2"/>
        <v>6813.4000000000005</v>
      </c>
      <c r="D50" s="9">
        <f t="shared" si="3"/>
        <v>34067</v>
      </c>
    </row>
    <row r="51" spans="1:4" ht="17.5" customHeight="1" x14ac:dyDescent="0.35">
      <c r="A51" s="8" t="s">
        <v>165</v>
      </c>
      <c r="B51" s="8">
        <v>129501</v>
      </c>
      <c r="C51" s="9">
        <f t="shared" si="2"/>
        <v>6475.05</v>
      </c>
      <c r="D51" s="9">
        <f t="shared" si="3"/>
        <v>32375.25</v>
      </c>
    </row>
    <row r="52" spans="1:4" ht="17.5" customHeight="1" x14ac:dyDescent="0.35">
      <c r="A52" s="8" t="s">
        <v>164</v>
      </c>
      <c r="B52" s="8">
        <v>173376</v>
      </c>
      <c r="C52" s="9">
        <f t="shared" si="2"/>
        <v>8668.8000000000011</v>
      </c>
      <c r="D52" s="9">
        <f t="shared" si="3"/>
        <v>43344</v>
      </c>
    </row>
    <row r="53" spans="1:4" ht="17.5" customHeight="1" x14ac:dyDescent="0.35">
      <c r="A53" s="8" t="s">
        <v>163</v>
      </c>
      <c r="B53" s="8">
        <v>57428</v>
      </c>
      <c r="C53" s="9">
        <f t="shared" si="2"/>
        <v>2871.4</v>
      </c>
      <c r="D53" s="9">
        <f t="shared" si="3"/>
        <v>14357</v>
      </c>
    </row>
    <row r="54" spans="1:4" ht="17.5" customHeight="1" x14ac:dyDescent="0.35">
      <c r="A54" s="8" t="s">
        <v>162</v>
      </c>
      <c r="B54" s="8">
        <v>105299</v>
      </c>
      <c r="C54" s="9">
        <f t="shared" si="2"/>
        <v>5264.9500000000007</v>
      </c>
      <c r="D54" s="9">
        <f t="shared" si="3"/>
        <v>26324.75</v>
      </c>
    </row>
    <row r="55" spans="1:4" ht="17.5" customHeight="1" x14ac:dyDescent="0.35">
      <c r="A55" s="8" t="s">
        <v>161</v>
      </c>
      <c r="B55" s="8">
        <v>170447</v>
      </c>
      <c r="C55" s="9">
        <f t="shared" si="2"/>
        <v>8522.35</v>
      </c>
      <c r="D55" s="9">
        <f t="shared" si="3"/>
        <v>42611.75</v>
      </c>
    </row>
    <row r="56" spans="1:4" ht="17.5" customHeight="1" x14ac:dyDescent="0.35">
      <c r="A56" s="8" t="s">
        <v>160</v>
      </c>
      <c r="B56" s="8">
        <v>55275</v>
      </c>
      <c r="C56" s="9">
        <f t="shared" si="2"/>
        <v>2763.75</v>
      </c>
      <c r="D56" s="9">
        <f t="shared" si="3"/>
        <v>13818.75</v>
      </c>
    </row>
    <row r="57" spans="1:4" ht="17.5" customHeight="1" x14ac:dyDescent="0.35">
      <c r="A57" s="8" t="s">
        <v>159</v>
      </c>
      <c r="B57" s="8">
        <v>193455</v>
      </c>
      <c r="C57" s="9">
        <f t="shared" si="2"/>
        <v>9672.75</v>
      </c>
      <c r="D57" s="9">
        <f t="shared" si="3"/>
        <v>48363.75</v>
      </c>
    </row>
    <row r="58" spans="1:4" ht="17.5" customHeight="1" x14ac:dyDescent="0.35">
      <c r="A58" s="8" t="s">
        <v>158</v>
      </c>
      <c r="B58" s="8">
        <v>140199</v>
      </c>
      <c r="C58" s="9">
        <f t="shared" si="2"/>
        <v>7009.9500000000007</v>
      </c>
      <c r="D58" s="9">
        <f t="shared" si="3"/>
        <v>35049.75</v>
      </c>
    </row>
    <row r="59" spans="1:4" ht="17.5" customHeight="1" x14ac:dyDescent="0.35">
      <c r="A59" s="8" t="s">
        <v>157</v>
      </c>
      <c r="B59" s="8">
        <v>41255</v>
      </c>
      <c r="C59" s="9">
        <f t="shared" si="2"/>
        <v>2062.75</v>
      </c>
      <c r="D59" s="9">
        <f t="shared" si="3"/>
        <v>10313.75</v>
      </c>
    </row>
    <row r="60" spans="1:4" ht="17.5" customHeight="1" x14ac:dyDescent="0.35">
      <c r="A60" s="8" t="s">
        <v>156</v>
      </c>
      <c r="B60" s="8">
        <v>59540</v>
      </c>
      <c r="C60" s="9">
        <f t="shared" si="2"/>
        <v>2977</v>
      </c>
      <c r="D60" s="9">
        <f t="shared" si="3"/>
        <v>14885</v>
      </c>
    </row>
    <row r="61" spans="1:4" ht="17.5" customHeight="1" x14ac:dyDescent="0.35">
      <c r="A61" s="8" t="s">
        <v>155</v>
      </c>
      <c r="B61" s="8">
        <v>153691</v>
      </c>
      <c r="C61" s="9">
        <f t="shared" si="2"/>
        <v>7684.55</v>
      </c>
      <c r="D61" s="9">
        <f t="shared" si="3"/>
        <v>38422.75</v>
      </c>
    </row>
    <row r="62" spans="1:4" ht="17.5" customHeight="1" x14ac:dyDescent="0.35">
      <c r="A62" s="8" t="s">
        <v>154</v>
      </c>
      <c r="B62" s="8">
        <v>31247</v>
      </c>
      <c r="C62" s="9">
        <f t="shared" si="2"/>
        <v>1562.3500000000001</v>
      </c>
      <c r="D62" s="9">
        <f t="shared" si="3"/>
        <v>7811.75</v>
      </c>
    </row>
    <row r="63" spans="1:4" ht="17.5" customHeight="1" x14ac:dyDescent="0.35">
      <c r="A63" s="8" t="s">
        <v>153</v>
      </c>
      <c r="B63" s="8">
        <v>48272</v>
      </c>
      <c r="C63" s="9">
        <f t="shared" si="2"/>
        <v>2413.6</v>
      </c>
      <c r="D63" s="9">
        <f t="shared" si="3"/>
        <v>12068</v>
      </c>
    </row>
    <row r="64" spans="1:4" ht="17.5" customHeight="1" x14ac:dyDescent="0.35">
      <c r="A64" s="8" t="s">
        <v>152</v>
      </c>
      <c r="B64" s="8">
        <v>45323</v>
      </c>
      <c r="C64" s="9">
        <f t="shared" si="2"/>
        <v>2266.15</v>
      </c>
      <c r="D64" s="9">
        <f t="shared" si="3"/>
        <v>11330.75</v>
      </c>
    </row>
    <row r="65" spans="1:4" ht="17.5" customHeight="1" x14ac:dyDescent="0.35">
      <c r="A65" s="8" t="s">
        <v>151</v>
      </c>
      <c r="B65" s="8">
        <v>92224</v>
      </c>
      <c r="C65" s="9">
        <f t="shared" si="2"/>
        <v>4611.2</v>
      </c>
      <c r="D65" s="9">
        <f t="shared" si="3"/>
        <v>23056</v>
      </c>
    </row>
    <row r="66" spans="1:4" ht="17.5" customHeight="1" x14ac:dyDescent="0.35">
      <c r="A66" s="8" t="s">
        <v>150</v>
      </c>
      <c r="B66" s="8">
        <v>70182</v>
      </c>
      <c r="C66" s="9">
        <f t="shared" si="2"/>
        <v>3509.1000000000004</v>
      </c>
      <c r="D66" s="9">
        <f t="shared" si="3"/>
        <v>17545.5</v>
      </c>
    </row>
    <row r="67" spans="1:4" ht="17.5" customHeight="1" x14ac:dyDescent="0.35">
      <c r="A67" s="8" t="s">
        <v>149</v>
      </c>
      <c r="B67" s="8">
        <v>109982</v>
      </c>
      <c r="C67" s="9">
        <f t="shared" ref="C67:C98" si="4">B67*Commision</f>
        <v>5499.1</v>
      </c>
      <c r="D67" s="9">
        <f t="shared" ref="D67:D98" si="5">B67*Tax</f>
        <v>27495.5</v>
      </c>
    </row>
    <row r="68" spans="1:4" ht="17.5" customHeight="1" x14ac:dyDescent="0.35">
      <c r="A68" s="8" t="s">
        <v>148</v>
      </c>
      <c r="B68" s="8">
        <v>83721</v>
      </c>
      <c r="C68" s="9">
        <f t="shared" si="4"/>
        <v>4186.05</v>
      </c>
      <c r="D68" s="9">
        <f t="shared" si="5"/>
        <v>20930.25</v>
      </c>
    </row>
    <row r="69" spans="1:4" ht="17.5" customHeight="1" x14ac:dyDescent="0.35">
      <c r="A69" s="8" t="s">
        <v>147</v>
      </c>
      <c r="B69" s="8">
        <v>192464</v>
      </c>
      <c r="C69" s="9">
        <f t="shared" si="4"/>
        <v>9623.2000000000007</v>
      </c>
      <c r="D69" s="9">
        <f t="shared" si="5"/>
        <v>48116</v>
      </c>
    </row>
    <row r="70" spans="1:4" ht="17.5" customHeight="1" x14ac:dyDescent="0.35">
      <c r="A70" s="8" t="s">
        <v>146</v>
      </c>
      <c r="B70" s="8">
        <v>37318</v>
      </c>
      <c r="C70" s="9">
        <f t="shared" si="4"/>
        <v>1865.9</v>
      </c>
      <c r="D70" s="9">
        <f t="shared" si="5"/>
        <v>9329.5</v>
      </c>
    </row>
    <row r="71" spans="1:4" ht="17.5" customHeight="1" x14ac:dyDescent="0.35">
      <c r="A71" s="8" t="s">
        <v>145</v>
      </c>
      <c r="B71" s="8">
        <v>175072</v>
      </c>
      <c r="C71" s="9">
        <f t="shared" si="4"/>
        <v>8753.6</v>
      </c>
      <c r="D71" s="9">
        <f t="shared" si="5"/>
        <v>43768</v>
      </c>
    </row>
    <row r="72" spans="1:4" ht="17.5" customHeight="1" x14ac:dyDescent="0.35">
      <c r="A72" s="8" t="s">
        <v>144</v>
      </c>
      <c r="B72" s="8">
        <v>153307</v>
      </c>
      <c r="C72" s="9">
        <f t="shared" si="4"/>
        <v>7665.35</v>
      </c>
      <c r="D72" s="9">
        <f t="shared" si="5"/>
        <v>38326.75</v>
      </c>
    </row>
    <row r="73" spans="1:4" ht="17.5" customHeight="1" x14ac:dyDescent="0.35">
      <c r="A73" s="8" t="s">
        <v>143</v>
      </c>
      <c r="B73" s="8">
        <v>63410</v>
      </c>
      <c r="C73" s="9">
        <f t="shared" si="4"/>
        <v>3170.5</v>
      </c>
      <c r="D73" s="9">
        <f t="shared" si="5"/>
        <v>15852.5</v>
      </c>
    </row>
    <row r="74" spans="1:4" ht="17.5" customHeight="1" x14ac:dyDescent="0.35">
      <c r="A74" s="8" t="s">
        <v>142</v>
      </c>
      <c r="B74" s="8">
        <v>191542</v>
      </c>
      <c r="C74" s="9">
        <f t="shared" si="4"/>
        <v>9577.1</v>
      </c>
      <c r="D74" s="9">
        <f t="shared" si="5"/>
        <v>47885.5</v>
      </c>
    </row>
    <row r="75" spans="1:4" ht="17.5" customHeight="1" x14ac:dyDescent="0.35">
      <c r="A75" s="8" t="s">
        <v>141</v>
      </c>
      <c r="B75" s="8">
        <v>184597</v>
      </c>
      <c r="C75" s="9">
        <f t="shared" si="4"/>
        <v>9229.85</v>
      </c>
      <c r="D75" s="9">
        <f t="shared" si="5"/>
        <v>46149.25</v>
      </c>
    </row>
    <row r="76" spans="1:4" ht="17.5" customHeight="1" x14ac:dyDescent="0.35">
      <c r="A76" s="8" t="s">
        <v>140</v>
      </c>
      <c r="B76" s="8">
        <v>121672</v>
      </c>
      <c r="C76" s="9">
        <f t="shared" si="4"/>
        <v>6083.6</v>
      </c>
      <c r="D76" s="9">
        <f t="shared" si="5"/>
        <v>30418</v>
      </c>
    </row>
    <row r="77" spans="1:4" ht="17.5" customHeight="1" x14ac:dyDescent="0.35">
      <c r="A77" s="8" t="s">
        <v>139</v>
      </c>
      <c r="B77" s="8">
        <v>164918</v>
      </c>
      <c r="C77" s="9">
        <f t="shared" si="4"/>
        <v>8245.9</v>
      </c>
      <c r="D77" s="9">
        <f t="shared" si="5"/>
        <v>41229.5</v>
      </c>
    </row>
    <row r="78" spans="1:4" ht="17.5" customHeight="1" x14ac:dyDescent="0.35">
      <c r="A78" s="8" t="s">
        <v>138</v>
      </c>
      <c r="B78" s="8">
        <v>132466</v>
      </c>
      <c r="C78" s="9">
        <f t="shared" si="4"/>
        <v>6623.3</v>
      </c>
      <c r="D78" s="9">
        <f t="shared" si="5"/>
        <v>33116.5</v>
      </c>
    </row>
    <row r="79" spans="1:4" ht="17.5" customHeight="1" x14ac:dyDescent="0.35">
      <c r="A79" s="8" t="s">
        <v>137</v>
      </c>
      <c r="B79" s="8">
        <v>110274</v>
      </c>
      <c r="C79" s="9">
        <f t="shared" si="4"/>
        <v>5513.7000000000007</v>
      </c>
      <c r="D79" s="9">
        <f t="shared" si="5"/>
        <v>27568.5</v>
      </c>
    </row>
    <row r="80" spans="1:4" ht="17.5" customHeight="1" x14ac:dyDescent="0.35">
      <c r="A80" s="8" t="s">
        <v>136</v>
      </c>
      <c r="B80" s="8">
        <v>63614</v>
      </c>
      <c r="C80" s="9">
        <f t="shared" si="4"/>
        <v>3180.7000000000003</v>
      </c>
      <c r="D80" s="9">
        <f t="shared" si="5"/>
        <v>15903.5</v>
      </c>
    </row>
    <row r="81" spans="1:4" ht="17.5" customHeight="1" x14ac:dyDescent="0.35">
      <c r="A81" s="8" t="s">
        <v>135</v>
      </c>
      <c r="B81" s="8">
        <v>81670</v>
      </c>
      <c r="C81" s="9">
        <f t="shared" si="4"/>
        <v>4083.5</v>
      </c>
      <c r="D81" s="9">
        <f t="shared" si="5"/>
        <v>20417.5</v>
      </c>
    </row>
    <row r="82" spans="1:4" ht="17.5" customHeight="1" x14ac:dyDescent="0.35">
      <c r="A82" s="8" t="s">
        <v>134</v>
      </c>
      <c r="B82" s="8">
        <v>171932</v>
      </c>
      <c r="C82" s="9">
        <f t="shared" si="4"/>
        <v>8596.6</v>
      </c>
      <c r="D82" s="9">
        <f t="shared" si="5"/>
        <v>42983</v>
      </c>
    </row>
    <row r="83" spans="1:4" ht="17.5" customHeight="1" x14ac:dyDescent="0.35">
      <c r="A83" s="8" t="s">
        <v>133</v>
      </c>
      <c r="B83" s="8">
        <v>146054</v>
      </c>
      <c r="C83" s="9">
        <f t="shared" si="4"/>
        <v>7302.7000000000007</v>
      </c>
      <c r="D83" s="9">
        <f t="shared" si="5"/>
        <v>36513.5</v>
      </c>
    </row>
    <row r="84" spans="1:4" ht="17.5" customHeight="1" x14ac:dyDescent="0.35">
      <c r="A84" s="8" t="s">
        <v>132</v>
      </c>
      <c r="B84" s="8">
        <v>174067</v>
      </c>
      <c r="C84" s="9">
        <f t="shared" si="4"/>
        <v>8703.35</v>
      </c>
      <c r="D84" s="9">
        <f t="shared" si="5"/>
        <v>43516.75</v>
      </c>
    </row>
    <row r="85" spans="1:4" ht="17.5" customHeight="1" x14ac:dyDescent="0.35">
      <c r="A85" s="8" t="s">
        <v>131</v>
      </c>
      <c r="B85" s="8">
        <v>33767</v>
      </c>
      <c r="C85" s="9">
        <f t="shared" si="4"/>
        <v>1688.3500000000001</v>
      </c>
      <c r="D85" s="9">
        <f t="shared" si="5"/>
        <v>8441.75</v>
      </c>
    </row>
    <row r="86" spans="1:4" ht="17.5" customHeight="1" x14ac:dyDescent="0.35">
      <c r="A86" s="8" t="s">
        <v>130</v>
      </c>
      <c r="B86" s="8">
        <v>154797</v>
      </c>
      <c r="C86" s="9">
        <f t="shared" si="4"/>
        <v>7739.85</v>
      </c>
      <c r="D86" s="9">
        <f t="shared" si="5"/>
        <v>38699.25</v>
      </c>
    </row>
    <row r="87" spans="1:4" ht="17.5" customHeight="1" x14ac:dyDescent="0.35">
      <c r="A87" s="8" t="s">
        <v>129</v>
      </c>
      <c r="B87" s="8">
        <v>121524</v>
      </c>
      <c r="C87" s="9">
        <f t="shared" si="4"/>
        <v>6076.2000000000007</v>
      </c>
      <c r="D87" s="9">
        <f t="shared" si="5"/>
        <v>30381</v>
      </c>
    </row>
    <row r="88" spans="1:4" ht="17.5" customHeight="1" x14ac:dyDescent="0.35">
      <c r="A88" s="8" t="s">
        <v>128</v>
      </c>
      <c r="B88" s="8">
        <v>96590</v>
      </c>
      <c r="C88" s="9">
        <f t="shared" si="4"/>
        <v>4829.5</v>
      </c>
      <c r="D88" s="9">
        <f t="shared" si="5"/>
        <v>24147.5</v>
      </c>
    </row>
    <row r="89" spans="1:4" ht="17.5" customHeight="1" x14ac:dyDescent="0.35">
      <c r="A89" s="8" t="s">
        <v>127</v>
      </c>
      <c r="B89" s="8">
        <v>146033</v>
      </c>
      <c r="C89" s="9">
        <f t="shared" si="4"/>
        <v>7301.6500000000005</v>
      </c>
      <c r="D89" s="9">
        <f t="shared" si="5"/>
        <v>36508.25</v>
      </c>
    </row>
    <row r="90" spans="1:4" ht="17.5" customHeight="1" x14ac:dyDescent="0.35">
      <c r="A90" s="8" t="s">
        <v>126</v>
      </c>
      <c r="B90" s="8">
        <v>148416</v>
      </c>
      <c r="C90" s="9">
        <f t="shared" si="4"/>
        <v>7420.8</v>
      </c>
      <c r="D90" s="9">
        <f t="shared" si="5"/>
        <v>37104</v>
      </c>
    </row>
    <row r="91" spans="1:4" ht="17.5" customHeight="1" x14ac:dyDescent="0.35">
      <c r="A91" s="8" t="s">
        <v>125</v>
      </c>
      <c r="B91" s="8">
        <v>52475</v>
      </c>
      <c r="C91" s="9">
        <f t="shared" si="4"/>
        <v>2623.75</v>
      </c>
      <c r="D91" s="9">
        <f t="shared" si="5"/>
        <v>13118.75</v>
      </c>
    </row>
    <row r="92" spans="1:4" ht="17.5" customHeight="1" x14ac:dyDescent="0.35">
      <c r="A92" s="8" t="s">
        <v>124</v>
      </c>
      <c r="B92" s="8">
        <v>192012</v>
      </c>
      <c r="C92" s="9">
        <f t="shared" si="4"/>
        <v>9600.6</v>
      </c>
      <c r="D92" s="9">
        <f t="shared" si="5"/>
        <v>48003</v>
      </c>
    </row>
    <row r="93" spans="1:4" ht="17.5" customHeight="1" x14ac:dyDescent="0.35">
      <c r="A93" s="8" t="s">
        <v>123</v>
      </c>
      <c r="B93" s="8">
        <v>73005</v>
      </c>
      <c r="C93" s="9">
        <f t="shared" si="4"/>
        <v>3650.25</v>
      </c>
      <c r="D93" s="9">
        <f t="shared" si="5"/>
        <v>18251.25</v>
      </c>
    </row>
    <row r="94" spans="1:4" ht="17.5" customHeight="1" x14ac:dyDescent="0.35">
      <c r="A94" s="8" t="s">
        <v>122</v>
      </c>
      <c r="B94" s="8">
        <v>163565</v>
      </c>
      <c r="C94" s="9">
        <f t="shared" si="4"/>
        <v>8178.25</v>
      </c>
      <c r="D94" s="9">
        <f t="shared" si="5"/>
        <v>40891.25</v>
      </c>
    </row>
    <row r="95" spans="1:4" ht="17.5" customHeight="1" x14ac:dyDescent="0.35">
      <c r="A95" s="8" t="s">
        <v>121</v>
      </c>
      <c r="B95" s="8">
        <v>166049</v>
      </c>
      <c r="C95" s="9">
        <f t="shared" si="4"/>
        <v>8302.4500000000007</v>
      </c>
      <c r="D95" s="9">
        <f t="shared" si="5"/>
        <v>41512.25</v>
      </c>
    </row>
    <row r="96" spans="1:4" ht="17.5" customHeight="1" x14ac:dyDescent="0.35">
      <c r="A96" s="8" t="s">
        <v>120</v>
      </c>
      <c r="B96" s="8">
        <v>134440</v>
      </c>
      <c r="C96" s="9">
        <f t="shared" si="4"/>
        <v>6722</v>
      </c>
      <c r="D96" s="9">
        <f t="shared" si="5"/>
        <v>33610</v>
      </c>
    </row>
    <row r="97" spans="1:4" ht="17.5" customHeight="1" x14ac:dyDescent="0.35">
      <c r="A97" s="8" t="s">
        <v>119</v>
      </c>
      <c r="B97" s="8">
        <v>177868</v>
      </c>
      <c r="C97" s="9">
        <f t="shared" si="4"/>
        <v>8893.4</v>
      </c>
      <c r="D97" s="9">
        <f t="shared" si="5"/>
        <v>44467</v>
      </c>
    </row>
    <row r="98" spans="1:4" ht="17.5" customHeight="1" x14ac:dyDescent="0.35">
      <c r="A98" s="8" t="s">
        <v>118</v>
      </c>
      <c r="B98" s="8">
        <v>112409</v>
      </c>
      <c r="C98" s="9">
        <f t="shared" si="4"/>
        <v>5620.4500000000007</v>
      </c>
      <c r="D98" s="9">
        <f t="shared" si="5"/>
        <v>28102.25</v>
      </c>
    </row>
    <row r="99" spans="1:4" ht="17.5" customHeight="1" x14ac:dyDescent="0.35">
      <c r="A99" s="8" t="s">
        <v>117</v>
      </c>
      <c r="B99" s="8">
        <v>114042</v>
      </c>
      <c r="C99" s="9">
        <f t="shared" ref="C99:C130" si="6">B99*Commision</f>
        <v>5702.1</v>
      </c>
      <c r="D99" s="9">
        <f t="shared" ref="D99:D130" si="7">B99*Tax</f>
        <v>28510.5</v>
      </c>
    </row>
    <row r="100" spans="1:4" ht="17.5" customHeight="1" x14ac:dyDescent="0.35">
      <c r="A100" s="8" t="s">
        <v>116</v>
      </c>
      <c r="B100" s="8">
        <v>123783</v>
      </c>
      <c r="C100" s="9">
        <f t="shared" si="6"/>
        <v>6189.1500000000005</v>
      </c>
      <c r="D100" s="9">
        <f t="shared" si="7"/>
        <v>30945.75</v>
      </c>
    </row>
    <row r="101" spans="1:4" ht="17.5" customHeight="1" x14ac:dyDescent="0.35">
      <c r="A101" s="8" t="s">
        <v>115</v>
      </c>
      <c r="B101" s="8">
        <v>45440</v>
      </c>
      <c r="C101" s="9">
        <f t="shared" si="6"/>
        <v>2272</v>
      </c>
      <c r="D101" s="9">
        <f t="shared" si="7"/>
        <v>11360</v>
      </c>
    </row>
    <row r="102" spans="1:4" ht="17.5" customHeight="1" x14ac:dyDescent="0.35">
      <c r="A102" s="8" t="s">
        <v>114</v>
      </c>
      <c r="B102" s="8">
        <v>71386</v>
      </c>
      <c r="C102" s="9">
        <f t="shared" si="6"/>
        <v>3569.3</v>
      </c>
      <c r="D102" s="9">
        <f t="shared" si="7"/>
        <v>17846.5</v>
      </c>
    </row>
    <row r="103" spans="1:4" ht="17.5" customHeight="1" x14ac:dyDescent="0.35">
      <c r="A103" s="8" t="s">
        <v>113</v>
      </c>
      <c r="B103" s="8">
        <v>75634</v>
      </c>
      <c r="C103" s="9">
        <f t="shared" si="6"/>
        <v>3781.7000000000003</v>
      </c>
      <c r="D103" s="9">
        <f t="shared" si="7"/>
        <v>18908.5</v>
      </c>
    </row>
    <row r="104" spans="1:4" ht="17.5" customHeight="1" x14ac:dyDescent="0.35">
      <c r="A104" s="8" t="s">
        <v>112</v>
      </c>
      <c r="B104" s="8">
        <v>95049</v>
      </c>
      <c r="C104" s="9">
        <f t="shared" si="6"/>
        <v>4752.45</v>
      </c>
      <c r="D104" s="9">
        <f t="shared" si="7"/>
        <v>23762.25</v>
      </c>
    </row>
    <row r="105" spans="1:4" ht="17.5" customHeight="1" x14ac:dyDescent="0.35">
      <c r="A105" s="8" t="s">
        <v>111</v>
      </c>
      <c r="B105" s="8">
        <v>110004</v>
      </c>
      <c r="C105" s="9">
        <f t="shared" si="6"/>
        <v>5500.2000000000007</v>
      </c>
      <c r="D105" s="9">
        <f t="shared" si="7"/>
        <v>27501</v>
      </c>
    </row>
    <row r="106" spans="1:4" ht="17.5" customHeight="1" x14ac:dyDescent="0.35">
      <c r="A106" s="8" t="s">
        <v>110</v>
      </c>
      <c r="B106" s="8">
        <v>141128</v>
      </c>
      <c r="C106" s="9">
        <f t="shared" si="6"/>
        <v>7056.4000000000005</v>
      </c>
      <c r="D106" s="9">
        <f t="shared" si="7"/>
        <v>35282</v>
      </c>
    </row>
    <row r="107" spans="1:4" ht="17.5" customHeight="1" x14ac:dyDescent="0.35">
      <c r="A107" s="8" t="s">
        <v>109</v>
      </c>
      <c r="B107" s="8">
        <v>95619</v>
      </c>
      <c r="C107" s="9">
        <f t="shared" si="6"/>
        <v>4780.95</v>
      </c>
      <c r="D107" s="9">
        <f t="shared" si="7"/>
        <v>23904.75</v>
      </c>
    </row>
    <row r="108" spans="1:4" ht="17.5" customHeight="1" x14ac:dyDescent="0.35">
      <c r="A108" s="8" t="s">
        <v>108</v>
      </c>
      <c r="B108" s="8">
        <v>198889</v>
      </c>
      <c r="C108" s="9">
        <f t="shared" si="6"/>
        <v>9944.4500000000007</v>
      </c>
      <c r="D108" s="9">
        <f t="shared" si="7"/>
        <v>49722.25</v>
      </c>
    </row>
    <row r="109" spans="1:4" ht="17.5" customHeight="1" x14ac:dyDescent="0.35">
      <c r="A109" s="8" t="s">
        <v>107</v>
      </c>
      <c r="B109" s="8">
        <v>148449</v>
      </c>
      <c r="C109" s="9">
        <f t="shared" si="6"/>
        <v>7422.4500000000007</v>
      </c>
      <c r="D109" s="9">
        <f t="shared" si="7"/>
        <v>37112.25</v>
      </c>
    </row>
    <row r="110" spans="1:4" ht="17.5" customHeight="1" x14ac:dyDescent="0.35">
      <c r="A110" s="8" t="s">
        <v>106</v>
      </c>
      <c r="B110" s="8">
        <v>109171</v>
      </c>
      <c r="C110" s="9">
        <f t="shared" si="6"/>
        <v>5458.55</v>
      </c>
      <c r="D110" s="9">
        <f t="shared" si="7"/>
        <v>27292.75</v>
      </c>
    </row>
    <row r="111" spans="1:4" ht="17.5" customHeight="1" x14ac:dyDescent="0.35">
      <c r="A111" s="8" t="s">
        <v>105</v>
      </c>
      <c r="B111" s="8">
        <v>129167</v>
      </c>
      <c r="C111" s="9">
        <f t="shared" si="6"/>
        <v>6458.35</v>
      </c>
      <c r="D111" s="9">
        <f t="shared" si="7"/>
        <v>32291.75</v>
      </c>
    </row>
    <row r="112" spans="1:4" ht="17.5" customHeight="1" x14ac:dyDescent="0.35">
      <c r="A112" s="8" t="s">
        <v>104</v>
      </c>
      <c r="B112" s="8">
        <v>194514</v>
      </c>
      <c r="C112" s="9">
        <f t="shared" si="6"/>
        <v>9725.7000000000007</v>
      </c>
      <c r="D112" s="9">
        <f t="shared" si="7"/>
        <v>48628.5</v>
      </c>
    </row>
    <row r="113" spans="1:4" ht="17.5" customHeight="1" x14ac:dyDescent="0.35">
      <c r="A113" s="8" t="s">
        <v>103</v>
      </c>
      <c r="B113" s="8">
        <v>115284</v>
      </c>
      <c r="C113" s="9">
        <f t="shared" si="6"/>
        <v>5764.2000000000007</v>
      </c>
      <c r="D113" s="9">
        <f t="shared" si="7"/>
        <v>28821</v>
      </c>
    </row>
    <row r="114" spans="1:4" ht="17.5" customHeight="1" x14ac:dyDescent="0.35">
      <c r="A114" s="8" t="s">
        <v>102</v>
      </c>
      <c r="B114" s="8">
        <v>105630</v>
      </c>
      <c r="C114" s="9">
        <f t="shared" si="6"/>
        <v>5281.5</v>
      </c>
      <c r="D114" s="9">
        <f t="shared" si="7"/>
        <v>26407.5</v>
      </c>
    </row>
    <row r="115" spans="1:4" ht="17.5" customHeight="1" x14ac:dyDescent="0.35">
      <c r="A115" s="8" t="s">
        <v>101</v>
      </c>
      <c r="B115" s="8">
        <v>63811</v>
      </c>
      <c r="C115" s="9">
        <f t="shared" si="6"/>
        <v>3190.55</v>
      </c>
      <c r="D115" s="9">
        <f t="shared" si="7"/>
        <v>15952.75</v>
      </c>
    </row>
    <row r="116" spans="1:4" ht="17.5" customHeight="1" x14ac:dyDescent="0.35">
      <c r="A116" s="8" t="s">
        <v>100</v>
      </c>
      <c r="B116" s="8">
        <v>128605</v>
      </c>
      <c r="C116" s="9">
        <f t="shared" si="6"/>
        <v>6430.25</v>
      </c>
      <c r="D116" s="9">
        <f t="shared" si="7"/>
        <v>32151.25</v>
      </c>
    </row>
    <row r="117" spans="1:4" ht="17.5" customHeight="1" x14ac:dyDescent="0.35">
      <c r="A117" s="8" t="s">
        <v>99</v>
      </c>
      <c r="B117" s="8">
        <v>183428</v>
      </c>
      <c r="C117" s="9">
        <f t="shared" si="6"/>
        <v>9171.4</v>
      </c>
      <c r="D117" s="9">
        <f t="shared" si="7"/>
        <v>45857</v>
      </c>
    </row>
    <row r="118" spans="1:4" ht="17.5" customHeight="1" x14ac:dyDescent="0.35">
      <c r="A118" s="8" t="s">
        <v>98</v>
      </c>
      <c r="B118" s="8">
        <v>63896</v>
      </c>
      <c r="C118" s="9">
        <f t="shared" si="6"/>
        <v>3194.8</v>
      </c>
      <c r="D118" s="9">
        <f t="shared" si="7"/>
        <v>15974</v>
      </c>
    </row>
    <row r="119" spans="1:4" ht="17.5" customHeight="1" x14ac:dyDescent="0.35">
      <c r="A119" s="8" t="s">
        <v>97</v>
      </c>
      <c r="B119" s="8">
        <v>79145</v>
      </c>
      <c r="C119" s="9">
        <f t="shared" si="6"/>
        <v>3957.25</v>
      </c>
      <c r="D119" s="9">
        <f t="shared" si="7"/>
        <v>19786.25</v>
      </c>
    </row>
    <row r="120" spans="1:4" ht="17.5" customHeight="1" x14ac:dyDescent="0.35">
      <c r="A120" s="8" t="s">
        <v>96</v>
      </c>
      <c r="B120" s="8">
        <v>35775</v>
      </c>
      <c r="C120" s="9">
        <f t="shared" si="6"/>
        <v>1788.75</v>
      </c>
      <c r="D120" s="9">
        <f t="shared" si="7"/>
        <v>8943.75</v>
      </c>
    </row>
    <row r="121" spans="1:4" ht="17.5" customHeight="1" x14ac:dyDescent="0.35">
      <c r="A121" s="8" t="s">
        <v>95</v>
      </c>
      <c r="B121" s="8">
        <v>44160</v>
      </c>
      <c r="C121" s="9">
        <f t="shared" si="6"/>
        <v>2208</v>
      </c>
      <c r="D121" s="9">
        <f t="shared" si="7"/>
        <v>11040</v>
      </c>
    </row>
    <row r="122" spans="1:4" ht="17.5" customHeight="1" x14ac:dyDescent="0.35">
      <c r="A122" s="8" t="s">
        <v>94</v>
      </c>
      <c r="B122" s="8">
        <v>110600</v>
      </c>
      <c r="C122" s="9">
        <f t="shared" si="6"/>
        <v>5530</v>
      </c>
      <c r="D122" s="9">
        <f t="shared" si="7"/>
        <v>27650</v>
      </c>
    </row>
    <row r="123" spans="1:4" ht="17.5" customHeight="1" x14ac:dyDescent="0.35">
      <c r="A123" s="8" t="s">
        <v>93</v>
      </c>
      <c r="B123" s="8">
        <v>95955</v>
      </c>
      <c r="C123" s="9">
        <f t="shared" si="6"/>
        <v>4797.75</v>
      </c>
      <c r="D123" s="9">
        <f t="shared" si="7"/>
        <v>23988.75</v>
      </c>
    </row>
    <row r="124" spans="1:4" ht="17.5" customHeight="1" x14ac:dyDescent="0.35">
      <c r="A124" s="8" t="s">
        <v>92</v>
      </c>
      <c r="B124" s="8">
        <v>85593</v>
      </c>
      <c r="C124" s="9">
        <f t="shared" si="6"/>
        <v>4279.6500000000005</v>
      </c>
      <c r="D124" s="9">
        <f t="shared" si="7"/>
        <v>21398.25</v>
      </c>
    </row>
    <row r="125" spans="1:4" ht="17.5" customHeight="1" x14ac:dyDescent="0.35">
      <c r="A125" s="8" t="s">
        <v>91</v>
      </c>
      <c r="B125" s="8">
        <v>178248</v>
      </c>
      <c r="C125" s="9">
        <f t="shared" si="6"/>
        <v>8912.4</v>
      </c>
      <c r="D125" s="9">
        <f t="shared" si="7"/>
        <v>44562</v>
      </c>
    </row>
    <row r="126" spans="1:4" ht="17.5" customHeight="1" x14ac:dyDescent="0.35">
      <c r="A126" s="8" t="s">
        <v>90</v>
      </c>
      <c r="B126" s="8">
        <v>97974</v>
      </c>
      <c r="C126" s="9">
        <f t="shared" si="6"/>
        <v>4898.7</v>
      </c>
      <c r="D126" s="9">
        <f t="shared" si="7"/>
        <v>24493.5</v>
      </c>
    </row>
    <row r="127" spans="1:4" ht="17.5" customHeight="1" x14ac:dyDescent="0.35">
      <c r="A127" s="8" t="s">
        <v>89</v>
      </c>
      <c r="B127" s="8">
        <v>112969</v>
      </c>
      <c r="C127" s="9">
        <f t="shared" si="6"/>
        <v>5648.4500000000007</v>
      </c>
      <c r="D127" s="9">
        <f t="shared" si="7"/>
        <v>28242.25</v>
      </c>
    </row>
    <row r="128" spans="1:4" ht="17.5" customHeight="1" x14ac:dyDescent="0.35">
      <c r="A128" s="8" t="s">
        <v>88</v>
      </c>
      <c r="B128" s="8">
        <v>48687</v>
      </c>
      <c r="C128" s="9">
        <f t="shared" si="6"/>
        <v>2434.35</v>
      </c>
      <c r="D128" s="9">
        <f t="shared" si="7"/>
        <v>12171.75</v>
      </c>
    </row>
    <row r="129" spans="1:4" ht="17.5" customHeight="1" x14ac:dyDescent="0.35">
      <c r="A129" s="8" t="s">
        <v>87</v>
      </c>
      <c r="B129" s="8">
        <v>37805</v>
      </c>
      <c r="C129" s="9">
        <f t="shared" si="6"/>
        <v>1890.25</v>
      </c>
      <c r="D129" s="9">
        <f t="shared" si="7"/>
        <v>9451.25</v>
      </c>
    </row>
    <row r="130" spans="1:4" ht="17.5" customHeight="1" x14ac:dyDescent="0.35">
      <c r="A130" s="8" t="s">
        <v>86</v>
      </c>
      <c r="B130" s="8">
        <v>68835</v>
      </c>
      <c r="C130" s="9">
        <f t="shared" si="6"/>
        <v>3441.75</v>
      </c>
      <c r="D130" s="9">
        <f t="shared" si="7"/>
        <v>17208.75</v>
      </c>
    </row>
    <row r="131" spans="1:4" ht="17.5" customHeight="1" x14ac:dyDescent="0.35">
      <c r="A131" s="8" t="s">
        <v>85</v>
      </c>
      <c r="B131" s="8">
        <v>131287</v>
      </c>
      <c r="C131" s="9">
        <f t="shared" ref="C131:C162" si="8">B131*Commision</f>
        <v>6564.35</v>
      </c>
      <c r="D131" s="9">
        <f t="shared" ref="D131:D162" si="9">B131*Tax</f>
        <v>32821.75</v>
      </c>
    </row>
    <row r="132" spans="1:4" ht="17.5" customHeight="1" x14ac:dyDescent="0.35">
      <c r="A132" s="8" t="s">
        <v>84</v>
      </c>
      <c r="B132" s="8">
        <v>40351</v>
      </c>
      <c r="C132" s="9">
        <f t="shared" si="8"/>
        <v>2017.5500000000002</v>
      </c>
      <c r="D132" s="9">
        <f t="shared" si="9"/>
        <v>10087.75</v>
      </c>
    </row>
    <row r="133" spans="1:4" ht="17.5" customHeight="1" x14ac:dyDescent="0.35">
      <c r="A133" s="8" t="s">
        <v>83</v>
      </c>
      <c r="B133" s="8">
        <v>139181</v>
      </c>
      <c r="C133" s="9">
        <f t="shared" si="8"/>
        <v>6959.05</v>
      </c>
      <c r="D133" s="9">
        <f t="shared" si="9"/>
        <v>34795.25</v>
      </c>
    </row>
    <row r="134" spans="1:4" ht="17.5" customHeight="1" x14ac:dyDescent="0.35">
      <c r="A134" s="8" t="s">
        <v>82</v>
      </c>
      <c r="B134" s="8">
        <v>125717</v>
      </c>
      <c r="C134" s="9">
        <f t="shared" si="8"/>
        <v>6285.85</v>
      </c>
      <c r="D134" s="9">
        <f t="shared" si="9"/>
        <v>31429.25</v>
      </c>
    </row>
    <row r="135" spans="1:4" ht="17.5" customHeight="1" x14ac:dyDescent="0.35">
      <c r="A135" s="8" t="s">
        <v>81</v>
      </c>
      <c r="B135" s="8">
        <v>168352</v>
      </c>
      <c r="C135" s="9">
        <f t="shared" si="8"/>
        <v>8417.6</v>
      </c>
      <c r="D135" s="9">
        <f t="shared" si="9"/>
        <v>42088</v>
      </c>
    </row>
    <row r="136" spans="1:4" ht="17.5" customHeight="1" x14ac:dyDescent="0.35">
      <c r="A136" s="8" t="s">
        <v>80</v>
      </c>
      <c r="B136" s="8">
        <v>50173</v>
      </c>
      <c r="C136" s="9">
        <f t="shared" si="8"/>
        <v>2508.65</v>
      </c>
      <c r="D136" s="9">
        <f t="shared" si="9"/>
        <v>12543.25</v>
      </c>
    </row>
    <row r="137" spans="1:4" ht="17.5" customHeight="1" x14ac:dyDescent="0.35">
      <c r="A137" s="8" t="s">
        <v>79</v>
      </c>
      <c r="B137" s="8">
        <v>146295</v>
      </c>
      <c r="C137" s="9">
        <f t="shared" si="8"/>
        <v>7314.75</v>
      </c>
      <c r="D137" s="9">
        <f t="shared" si="9"/>
        <v>36573.75</v>
      </c>
    </row>
    <row r="138" spans="1:4" ht="17.5" customHeight="1" x14ac:dyDescent="0.35">
      <c r="A138" s="8" t="s">
        <v>78</v>
      </c>
      <c r="B138" s="8">
        <v>32742</v>
      </c>
      <c r="C138" s="9">
        <f t="shared" si="8"/>
        <v>1637.1000000000001</v>
      </c>
      <c r="D138" s="9">
        <f t="shared" si="9"/>
        <v>8185.5</v>
      </c>
    </row>
    <row r="139" spans="1:4" ht="17.5" customHeight="1" x14ac:dyDescent="0.35">
      <c r="A139" s="8" t="s">
        <v>77</v>
      </c>
      <c r="B139" s="8">
        <v>153877</v>
      </c>
      <c r="C139" s="9">
        <f t="shared" si="8"/>
        <v>7693.85</v>
      </c>
      <c r="D139" s="9">
        <f t="shared" si="9"/>
        <v>38469.25</v>
      </c>
    </row>
    <row r="140" spans="1:4" ht="17.5" customHeight="1" x14ac:dyDescent="0.35">
      <c r="A140" s="8" t="s">
        <v>76</v>
      </c>
      <c r="B140" s="8">
        <v>47637</v>
      </c>
      <c r="C140" s="9">
        <f t="shared" si="8"/>
        <v>2381.85</v>
      </c>
      <c r="D140" s="9">
        <f t="shared" si="9"/>
        <v>11909.25</v>
      </c>
    </row>
    <row r="141" spans="1:4" ht="17.5" customHeight="1" x14ac:dyDescent="0.35">
      <c r="A141" s="8" t="s">
        <v>75</v>
      </c>
      <c r="B141" s="8">
        <v>148135</v>
      </c>
      <c r="C141" s="9">
        <f t="shared" si="8"/>
        <v>7406.75</v>
      </c>
      <c r="D141" s="9">
        <f t="shared" si="9"/>
        <v>37033.75</v>
      </c>
    </row>
    <row r="142" spans="1:4" ht="17.5" customHeight="1" x14ac:dyDescent="0.35">
      <c r="A142" s="8" t="s">
        <v>74</v>
      </c>
      <c r="B142" s="8">
        <v>72498</v>
      </c>
      <c r="C142" s="9">
        <f t="shared" si="8"/>
        <v>3624.9</v>
      </c>
      <c r="D142" s="9">
        <f t="shared" si="9"/>
        <v>18124.5</v>
      </c>
    </row>
    <row r="143" spans="1:4" ht="17.5" customHeight="1" x14ac:dyDescent="0.35">
      <c r="A143" s="8" t="s">
        <v>73</v>
      </c>
      <c r="B143" s="8">
        <v>164136</v>
      </c>
      <c r="C143" s="9">
        <f t="shared" si="8"/>
        <v>8206.8000000000011</v>
      </c>
      <c r="D143" s="9">
        <f t="shared" si="9"/>
        <v>41034</v>
      </c>
    </row>
    <row r="144" spans="1:4" ht="17.5" customHeight="1" x14ac:dyDescent="0.35">
      <c r="A144" s="8" t="s">
        <v>72</v>
      </c>
      <c r="B144" s="8">
        <v>174084</v>
      </c>
      <c r="C144" s="9">
        <f t="shared" si="8"/>
        <v>8704.2000000000007</v>
      </c>
      <c r="D144" s="9">
        <f t="shared" si="9"/>
        <v>43521</v>
      </c>
    </row>
    <row r="145" spans="1:4" ht="17.5" customHeight="1" x14ac:dyDescent="0.35">
      <c r="A145" s="8" t="s">
        <v>71</v>
      </c>
      <c r="B145" s="8">
        <v>176079</v>
      </c>
      <c r="C145" s="9">
        <f t="shared" si="8"/>
        <v>8803.9500000000007</v>
      </c>
      <c r="D145" s="9">
        <f t="shared" si="9"/>
        <v>44019.75</v>
      </c>
    </row>
    <row r="146" spans="1:4" ht="17.5" customHeight="1" x14ac:dyDescent="0.35">
      <c r="A146" s="8" t="s">
        <v>70</v>
      </c>
      <c r="B146" s="8">
        <v>53459</v>
      </c>
      <c r="C146" s="9">
        <f t="shared" si="8"/>
        <v>2672.9500000000003</v>
      </c>
      <c r="D146" s="9">
        <f t="shared" si="9"/>
        <v>13364.75</v>
      </c>
    </row>
    <row r="147" spans="1:4" ht="17.5" customHeight="1" x14ac:dyDescent="0.35">
      <c r="A147" s="8" t="s">
        <v>69</v>
      </c>
      <c r="B147" s="8">
        <v>131730</v>
      </c>
      <c r="C147" s="9">
        <f t="shared" si="8"/>
        <v>6586.5</v>
      </c>
      <c r="D147" s="9">
        <f t="shared" si="9"/>
        <v>32932.5</v>
      </c>
    </row>
    <row r="148" spans="1:4" ht="17.5" customHeight="1" x14ac:dyDescent="0.35">
      <c r="A148" s="8" t="s">
        <v>68</v>
      </c>
      <c r="B148" s="8">
        <v>37749</v>
      </c>
      <c r="C148" s="9">
        <f t="shared" si="8"/>
        <v>1887.45</v>
      </c>
      <c r="D148" s="9">
        <f t="shared" si="9"/>
        <v>9437.25</v>
      </c>
    </row>
    <row r="149" spans="1:4" ht="17.5" customHeight="1" x14ac:dyDescent="0.35">
      <c r="A149" s="8" t="s">
        <v>67</v>
      </c>
      <c r="B149" s="8">
        <v>62603</v>
      </c>
      <c r="C149" s="9">
        <f t="shared" si="8"/>
        <v>3130.15</v>
      </c>
      <c r="D149" s="9">
        <f t="shared" si="9"/>
        <v>15650.75</v>
      </c>
    </row>
    <row r="150" spans="1:4" ht="17.5" customHeight="1" x14ac:dyDescent="0.35">
      <c r="A150" s="8" t="s">
        <v>66</v>
      </c>
      <c r="B150" s="8">
        <v>127926</v>
      </c>
      <c r="C150" s="9">
        <f t="shared" si="8"/>
        <v>6396.3</v>
      </c>
      <c r="D150" s="9">
        <f t="shared" si="9"/>
        <v>31981.5</v>
      </c>
    </row>
    <row r="151" spans="1:4" ht="17.5" customHeight="1" x14ac:dyDescent="0.35">
      <c r="A151" s="8" t="s">
        <v>65</v>
      </c>
      <c r="B151" s="8">
        <v>51796</v>
      </c>
      <c r="C151" s="9">
        <f t="shared" si="8"/>
        <v>2589.8000000000002</v>
      </c>
      <c r="D151" s="9">
        <f t="shared" si="9"/>
        <v>12949</v>
      </c>
    </row>
    <row r="152" spans="1:4" ht="17.5" customHeight="1" x14ac:dyDescent="0.35">
      <c r="A152" s="8" t="s">
        <v>64</v>
      </c>
      <c r="B152" s="8">
        <v>42920</v>
      </c>
      <c r="C152" s="9">
        <f t="shared" si="8"/>
        <v>2146</v>
      </c>
      <c r="D152" s="9">
        <f t="shared" si="9"/>
        <v>10730</v>
      </c>
    </row>
    <row r="153" spans="1:4" ht="17.5" customHeight="1" x14ac:dyDescent="0.35">
      <c r="A153" s="8" t="s">
        <v>63</v>
      </c>
      <c r="B153" s="8">
        <v>108042</v>
      </c>
      <c r="C153" s="9">
        <f t="shared" si="8"/>
        <v>5402.1</v>
      </c>
      <c r="D153" s="9">
        <f t="shared" si="9"/>
        <v>27010.5</v>
      </c>
    </row>
    <row r="154" spans="1:4" ht="17.5" customHeight="1" x14ac:dyDescent="0.35">
      <c r="A154" s="8" t="s">
        <v>62</v>
      </c>
      <c r="B154" s="8">
        <v>62737</v>
      </c>
      <c r="C154" s="9">
        <f t="shared" si="8"/>
        <v>3136.8500000000004</v>
      </c>
      <c r="D154" s="9">
        <f t="shared" si="9"/>
        <v>15684.25</v>
      </c>
    </row>
    <row r="155" spans="1:4" ht="17.5" customHeight="1" x14ac:dyDescent="0.35">
      <c r="A155" s="8" t="s">
        <v>61</v>
      </c>
      <c r="B155" s="8">
        <v>125728</v>
      </c>
      <c r="C155" s="9">
        <f t="shared" si="8"/>
        <v>6286.4000000000005</v>
      </c>
      <c r="D155" s="9">
        <f t="shared" si="9"/>
        <v>31432</v>
      </c>
    </row>
    <row r="156" spans="1:4" ht="17.5" customHeight="1" x14ac:dyDescent="0.35">
      <c r="A156" s="8" t="s">
        <v>60</v>
      </c>
      <c r="B156" s="8">
        <v>199317</v>
      </c>
      <c r="C156" s="9">
        <f t="shared" si="8"/>
        <v>9965.85</v>
      </c>
      <c r="D156" s="9">
        <f t="shared" si="9"/>
        <v>49829.25</v>
      </c>
    </row>
    <row r="157" spans="1:4" ht="17.5" customHeight="1" x14ac:dyDescent="0.35">
      <c r="A157" s="8" t="s">
        <v>59</v>
      </c>
      <c r="B157" s="8">
        <v>37775</v>
      </c>
      <c r="C157" s="9">
        <f t="shared" si="8"/>
        <v>1888.75</v>
      </c>
      <c r="D157" s="9">
        <f t="shared" si="9"/>
        <v>9443.75</v>
      </c>
    </row>
    <row r="158" spans="1:4" ht="17.5" customHeight="1" x14ac:dyDescent="0.35">
      <c r="A158" s="8" t="s">
        <v>58</v>
      </c>
      <c r="B158" s="8">
        <v>129007</v>
      </c>
      <c r="C158" s="9">
        <f t="shared" si="8"/>
        <v>6450.35</v>
      </c>
      <c r="D158" s="9">
        <f t="shared" si="9"/>
        <v>32251.75</v>
      </c>
    </row>
    <row r="159" spans="1:4" ht="17.5" customHeight="1" x14ac:dyDescent="0.35">
      <c r="A159" s="8" t="s">
        <v>57</v>
      </c>
      <c r="B159" s="8">
        <v>107147</v>
      </c>
      <c r="C159" s="9">
        <f t="shared" si="8"/>
        <v>5357.35</v>
      </c>
      <c r="D159" s="9">
        <f t="shared" si="9"/>
        <v>26786.75</v>
      </c>
    </row>
    <row r="160" spans="1:4" ht="17.5" customHeight="1" x14ac:dyDescent="0.35">
      <c r="A160" s="8" t="s">
        <v>56</v>
      </c>
      <c r="B160" s="8">
        <v>196487</v>
      </c>
      <c r="C160" s="9">
        <f t="shared" si="8"/>
        <v>9824.35</v>
      </c>
      <c r="D160" s="9">
        <f t="shared" si="9"/>
        <v>49121.75</v>
      </c>
    </row>
    <row r="161" spans="1:4" ht="17.5" customHeight="1" x14ac:dyDescent="0.35">
      <c r="A161" s="8" t="s">
        <v>55</v>
      </c>
      <c r="B161" s="8">
        <v>185492</v>
      </c>
      <c r="C161" s="9">
        <f t="shared" si="8"/>
        <v>9274.6</v>
      </c>
      <c r="D161" s="9">
        <f t="shared" si="9"/>
        <v>46373</v>
      </c>
    </row>
    <row r="162" spans="1:4" ht="17.5" customHeight="1" x14ac:dyDescent="0.35">
      <c r="A162" s="8" t="s">
        <v>54</v>
      </c>
      <c r="B162" s="8">
        <v>108089</v>
      </c>
      <c r="C162" s="9">
        <f t="shared" si="8"/>
        <v>5404.4500000000007</v>
      </c>
      <c r="D162" s="9">
        <f t="shared" si="9"/>
        <v>27022.25</v>
      </c>
    </row>
    <row r="163" spans="1:4" ht="17.5" customHeight="1" x14ac:dyDescent="0.35">
      <c r="A163" s="8" t="s">
        <v>53</v>
      </c>
      <c r="B163" s="8">
        <v>37787</v>
      </c>
      <c r="C163" s="9">
        <f t="shared" ref="C163:C194" si="10">B163*Commision</f>
        <v>1889.3500000000001</v>
      </c>
      <c r="D163" s="9">
        <f t="shared" ref="D163:D194" si="11">B163*Tax</f>
        <v>9446.75</v>
      </c>
    </row>
    <row r="164" spans="1:4" ht="17.5" customHeight="1" x14ac:dyDescent="0.35">
      <c r="A164" s="8" t="s">
        <v>52</v>
      </c>
      <c r="B164" s="8">
        <v>128386</v>
      </c>
      <c r="C164" s="9">
        <f t="shared" si="10"/>
        <v>6419.3</v>
      </c>
      <c r="D164" s="9">
        <f t="shared" si="11"/>
        <v>32096.5</v>
      </c>
    </row>
    <row r="165" spans="1:4" ht="17.5" customHeight="1" x14ac:dyDescent="0.35">
      <c r="A165" s="8" t="s">
        <v>51</v>
      </c>
      <c r="B165" s="8">
        <v>33439</v>
      </c>
      <c r="C165" s="9">
        <f t="shared" si="10"/>
        <v>1671.95</v>
      </c>
      <c r="D165" s="9">
        <f t="shared" si="11"/>
        <v>8359.75</v>
      </c>
    </row>
    <row r="166" spans="1:4" ht="17.5" customHeight="1" x14ac:dyDescent="0.35">
      <c r="A166" s="8" t="s">
        <v>50</v>
      </c>
      <c r="B166" s="8">
        <v>171921</v>
      </c>
      <c r="C166" s="9">
        <f t="shared" si="10"/>
        <v>8596.0500000000011</v>
      </c>
      <c r="D166" s="9">
        <f t="shared" si="11"/>
        <v>42980.25</v>
      </c>
    </row>
    <row r="167" spans="1:4" ht="17.5" customHeight="1" x14ac:dyDescent="0.35">
      <c r="A167" s="8" t="s">
        <v>49</v>
      </c>
      <c r="B167" s="8">
        <v>147668</v>
      </c>
      <c r="C167" s="9">
        <f t="shared" si="10"/>
        <v>7383.4000000000005</v>
      </c>
      <c r="D167" s="9">
        <f t="shared" si="11"/>
        <v>36917</v>
      </c>
    </row>
    <row r="168" spans="1:4" ht="17.5" customHeight="1" x14ac:dyDescent="0.35">
      <c r="A168" s="8" t="s">
        <v>48</v>
      </c>
      <c r="B168" s="8">
        <v>146524</v>
      </c>
      <c r="C168" s="9">
        <f t="shared" si="10"/>
        <v>7326.2000000000007</v>
      </c>
      <c r="D168" s="9">
        <f t="shared" si="11"/>
        <v>36631</v>
      </c>
    </row>
    <row r="169" spans="1:4" ht="17.5" customHeight="1" x14ac:dyDescent="0.35">
      <c r="A169" s="8" t="s">
        <v>47</v>
      </c>
      <c r="B169" s="8">
        <v>66457</v>
      </c>
      <c r="C169" s="9">
        <f t="shared" si="10"/>
        <v>3322.8500000000004</v>
      </c>
      <c r="D169" s="9">
        <f t="shared" si="11"/>
        <v>16614.25</v>
      </c>
    </row>
    <row r="170" spans="1:4" ht="17.5" customHeight="1" x14ac:dyDescent="0.35">
      <c r="A170" s="8" t="s">
        <v>46</v>
      </c>
      <c r="B170" s="8">
        <v>187821</v>
      </c>
      <c r="C170" s="9">
        <f t="shared" si="10"/>
        <v>9391.0500000000011</v>
      </c>
      <c r="D170" s="9">
        <f t="shared" si="11"/>
        <v>46955.25</v>
      </c>
    </row>
    <row r="171" spans="1:4" ht="17.5" customHeight="1" x14ac:dyDescent="0.35">
      <c r="A171" s="8" t="s">
        <v>45</v>
      </c>
      <c r="B171" s="8">
        <v>181205</v>
      </c>
      <c r="C171" s="9">
        <f t="shared" si="10"/>
        <v>9060.25</v>
      </c>
      <c r="D171" s="9">
        <f t="shared" si="11"/>
        <v>45301.25</v>
      </c>
    </row>
    <row r="172" spans="1:4" ht="17.5" customHeight="1" x14ac:dyDescent="0.35">
      <c r="A172" s="8" t="s">
        <v>44</v>
      </c>
      <c r="B172" s="8">
        <v>149926</v>
      </c>
      <c r="C172" s="9">
        <f t="shared" si="10"/>
        <v>7496.3</v>
      </c>
      <c r="D172" s="9">
        <f t="shared" si="11"/>
        <v>37481.5</v>
      </c>
    </row>
    <row r="173" spans="1:4" ht="17.5" customHeight="1" x14ac:dyDescent="0.35">
      <c r="A173" s="8" t="s">
        <v>43</v>
      </c>
      <c r="B173" s="8">
        <v>110934</v>
      </c>
      <c r="C173" s="9">
        <f t="shared" si="10"/>
        <v>5546.7000000000007</v>
      </c>
      <c r="D173" s="9">
        <f t="shared" si="11"/>
        <v>27733.5</v>
      </c>
    </row>
    <row r="174" spans="1:4" ht="17.5" customHeight="1" x14ac:dyDescent="0.35">
      <c r="A174" s="8" t="s">
        <v>42</v>
      </c>
      <c r="B174" s="8">
        <v>133332</v>
      </c>
      <c r="C174" s="9">
        <f t="shared" si="10"/>
        <v>6666.6</v>
      </c>
      <c r="D174" s="9">
        <f t="shared" si="11"/>
        <v>33333</v>
      </c>
    </row>
    <row r="175" spans="1:4" ht="17.5" customHeight="1" x14ac:dyDescent="0.35">
      <c r="A175" s="8" t="s">
        <v>41</v>
      </c>
      <c r="B175" s="8">
        <v>140346</v>
      </c>
      <c r="C175" s="9">
        <f t="shared" si="10"/>
        <v>7017.3</v>
      </c>
      <c r="D175" s="9">
        <f t="shared" si="11"/>
        <v>35086.5</v>
      </c>
    </row>
    <row r="176" spans="1:4" ht="17.5" customHeight="1" x14ac:dyDescent="0.35">
      <c r="A176" s="8" t="s">
        <v>40</v>
      </c>
      <c r="B176" s="8">
        <v>153035</v>
      </c>
      <c r="C176" s="9">
        <f t="shared" si="10"/>
        <v>7651.75</v>
      </c>
      <c r="D176" s="9">
        <f t="shared" si="11"/>
        <v>38258.75</v>
      </c>
    </row>
    <row r="177" spans="1:4" ht="17.5" customHeight="1" x14ac:dyDescent="0.35">
      <c r="A177" s="8" t="s">
        <v>39</v>
      </c>
      <c r="B177" s="8">
        <v>95722</v>
      </c>
      <c r="C177" s="9">
        <f t="shared" si="10"/>
        <v>4786.1000000000004</v>
      </c>
      <c r="D177" s="9">
        <f t="shared" si="11"/>
        <v>23930.5</v>
      </c>
    </row>
    <row r="178" spans="1:4" ht="17.5" customHeight="1" x14ac:dyDescent="0.35">
      <c r="A178" s="8" t="s">
        <v>38</v>
      </c>
      <c r="B178" s="8">
        <v>43074</v>
      </c>
      <c r="C178" s="9">
        <f t="shared" si="10"/>
        <v>2153.7000000000003</v>
      </c>
      <c r="D178" s="9">
        <f t="shared" si="11"/>
        <v>10768.5</v>
      </c>
    </row>
    <row r="179" spans="1:4" ht="17.5" customHeight="1" x14ac:dyDescent="0.35">
      <c r="A179" s="8" t="s">
        <v>37</v>
      </c>
      <c r="B179" s="8">
        <v>51605</v>
      </c>
      <c r="C179" s="9">
        <f t="shared" si="10"/>
        <v>2580.25</v>
      </c>
      <c r="D179" s="9">
        <f t="shared" si="11"/>
        <v>12901.25</v>
      </c>
    </row>
    <row r="180" spans="1:4" ht="17.5" customHeight="1" x14ac:dyDescent="0.35">
      <c r="A180" s="8" t="s">
        <v>36</v>
      </c>
      <c r="B180" s="8">
        <v>87344</v>
      </c>
      <c r="C180" s="9">
        <f t="shared" si="10"/>
        <v>4367.2</v>
      </c>
      <c r="D180" s="9">
        <f t="shared" si="11"/>
        <v>21836</v>
      </c>
    </row>
    <row r="181" spans="1:4" ht="17.5" customHeight="1" x14ac:dyDescent="0.35">
      <c r="A181" s="8" t="s">
        <v>35</v>
      </c>
      <c r="B181" s="8">
        <v>40615</v>
      </c>
      <c r="C181" s="9">
        <f t="shared" si="10"/>
        <v>2030.75</v>
      </c>
      <c r="D181" s="9">
        <f t="shared" si="11"/>
        <v>10153.75</v>
      </c>
    </row>
    <row r="182" spans="1:4" ht="17.5" customHeight="1" x14ac:dyDescent="0.35">
      <c r="A182" s="8" t="s">
        <v>34</v>
      </c>
      <c r="B182" s="8">
        <v>76375</v>
      </c>
      <c r="C182" s="9">
        <f t="shared" si="10"/>
        <v>3818.75</v>
      </c>
      <c r="D182" s="9">
        <f t="shared" si="11"/>
        <v>19093.75</v>
      </c>
    </row>
    <row r="183" spans="1:4" ht="17.5" customHeight="1" x14ac:dyDescent="0.35">
      <c r="A183" s="8" t="s">
        <v>33</v>
      </c>
      <c r="B183" s="8">
        <v>140049</v>
      </c>
      <c r="C183" s="9">
        <f t="shared" si="10"/>
        <v>7002.4500000000007</v>
      </c>
      <c r="D183" s="9">
        <f t="shared" si="11"/>
        <v>35012.25</v>
      </c>
    </row>
    <row r="184" spans="1:4" ht="17.5" customHeight="1" x14ac:dyDescent="0.35">
      <c r="A184" s="8" t="s">
        <v>32</v>
      </c>
      <c r="B184" s="8">
        <v>168232</v>
      </c>
      <c r="C184" s="9">
        <f t="shared" si="10"/>
        <v>8411.6</v>
      </c>
      <c r="D184" s="9">
        <f t="shared" si="11"/>
        <v>42058</v>
      </c>
    </row>
    <row r="185" spans="1:4" ht="17.5" customHeight="1" x14ac:dyDescent="0.35">
      <c r="A185" s="8" t="s">
        <v>31</v>
      </c>
      <c r="B185" s="8">
        <v>124526</v>
      </c>
      <c r="C185" s="9">
        <f t="shared" si="10"/>
        <v>6226.3</v>
      </c>
      <c r="D185" s="9">
        <f t="shared" si="11"/>
        <v>31131.5</v>
      </c>
    </row>
    <row r="186" spans="1:4" ht="17.5" customHeight="1" x14ac:dyDescent="0.35">
      <c r="A186" s="8" t="s">
        <v>30</v>
      </c>
      <c r="B186" s="8">
        <v>83522</v>
      </c>
      <c r="C186" s="9">
        <f t="shared" si="10"/>
        <v>4176.1000000000004</v>
      </c>
      <c r="D186" s="9">
        <f t="shared" si="11"/>
        <v>20880.5</v>
      </c>
    </row>
    <row r="187" spans="1:4" ht="17.5" customHeight="1" x14ac:dyDescent="0.35">
      <c r="A187" s="8" t="s">
        <v>29</v>
      </c>
      <c r="B187" s="8">
        <v>160967</v>
      </c>
      <c r="C187" s="9">
        <f t="shared" si="10"/>
        <v>8048.35</v>
      </c>
      <c r="D187" s="9">
        <f t="shared" si="11"/>
        <v>40241.75</v>
      </c>
    </row>
    <row r="188" spans="1:4" ht="17.5" customHeight="1" x14ac:dyDescent="0.35">
      <c r="A188" s="8" t="s">
        <v>28</v>
      </c>
      <c r="B188" s="8">
        <v>176140</v>
      </c>
      <c r="C188" s="9">
        <f t="shared" si="10"/>
        <v>8807</v>
      </c>
      <c r="D188" s="9">
        <f t="shared" si="11"/>
        <v>44035</v>
      </c>
    </row>
    <row r="189" spans="1:4" ht="17.5" customHeight="1" x14ac:dyDescent="0.35">
      <c r="A189" s="8" t="s">
        <v>27</v>
      </c>
      <c r="B189" s="8">
        <v>58288</v>
      </c>
      <c r="C189" s="9">
        <f t="shared" si="10"/>
        <v>2914.4</v>
      </c>
      <c r="D189" s="9">
        <f t="shared" si="11"/>
        <v>14572</v>
      </c>
    </row>
    <row r="190" spans="1:4" ht="17.5" customHeight="1" x14ac:dyDescent="0.35">
      <c r="A190" s="8" t="s">
        <v>26</v>
      </c>
      <c r="B190" s="8">
        <v>154355</v>
      </c>
      <c r="C190" s="9">
        <f t="shared" si="10"/>
        <v>7717.75</v>
      </c>
      <c r="D190" s="9">
        <f t="shared" si="11"/>
        <v>38588.75</v>
      </c>
    </row>
    <row r="191" spans="1:4" ht="17.5" customHeight="1" x14ac:dyDescent="0.35">
      <c r="A191" s="8" t="s">
        <v>25</v>
      </c>
      <c r="B191" s="8">
        <v>65876</v>
      </c>
      <c r="C191" s="9">
        <f t="shared" si="10"/>
        <v>3293.8</v>
      </c>
      <c r="D191" s="9">
        <f t="shared" si="11"/>
        <v>16469</v>
      </c>
    </row>
    <row r="192" spans="1:4" ht="17.5" customHeight="1" x14ac:dyDescent="0.35">
      <c r="A192" s="8" t="s">
        <v>24</v>
      </c>
      <c r="B192" s="8">
        <v>189873</v>
      </c>
      <c r="C192" s="9">
        <f t="shared" si="10"/>
        <v>9493.65</v>
      </c>
      <c r="D192" s="9">
        <f t="shared" si="11"/>
        <v>47468.25</v>
      </c>
    </row>
    <row r="193" spans="1:4" ht="17.5" customHeight="1" x14ac:dyDescent="0.35">
      <c r="A193" s="8" t="s">
        <v>23</v>
      </c>
      <c r="B193" s="8">
        <v>182965</v>
      </c>
      <c r="C193" s="9">
        <f t="shared" si="10"/>
        <v>9148.25</v>
      </c>
      <c r="D193" s="9">
        <f t="shared" si="11"/>
        <v>45741.25</v>
      </c>
    </row>
    <row r="194" spans="1:4" ht="17.5" customHeight="1" x14ac:dyDescent="0.35">
      <c r="A194" s="8" t="s">
        <v>22</v>
      </c>
      <c r="B194" s="8">
        <v>78841</v>
      </c>
      <c r="C194" s="9">
        <f t="shared" si="10"/>
        <v>3942.05</v>
      </c>
      <c r="D194" s="9">
        <f t="shared" si="11"/>
        <v>19710.25</v>
      </c>
    </row>
    <row r="195" spans="1:4" ht="17.5" customHeight="1" x14ac:dyDescent="0.35">
      <c r="A195" s="8" t="s">
        <v>21</v>
      </c>
      <c r="B195" s="8">
        <v>138511</v>
      </c>
      <c r="C195" s="9">
        <f t="shared" ref="C195:C226" si="12">B195*Commision</f>
        <v>6925.55</v>
      </c>
      <c r="D195" s="9">
        <f t="shared" ref="D195:D202" si="13">B195*Tax</f>
        <v>34627.75</v>
      </c>
    </row>
    <row r="196" spans="1:4" ht="17.5" customHeight="1" x14ac:dyDescent="0.35">
      <c r="A196" s="8" t="s">
        <v>20</v>
      </c>
      <c r="B196" s="8">
        <v>135285</v>
      </c>
      <c r="C196" s="9">
        <f t="shared" si="12"/>
        <v>6764.25</v>
      </c>
      <c r="D196" s="9">
        <f t="shared" si="13"/>
        <v>33821.25</v>
      </c>
    </row>
    <row r="197" spans="1:4" ht="17.5" customHeight="1" x14ac:dyDescent="0.35">
      <c r="A197" s="8" t="s">
        <v>19</v>
      </c>
      <c r="B197" s="8">
        <v>104061</v>
      </c>
      <c r="C197" s="9">
        <f t="shared" si="12"/>
        <v>5203.05</v>
      </c>
      <c r="D197" s="9">
        <f t="shared" si="13"/>
        <v>26015.25</v>
      </c>
    </row>
    <row r="198" spans="1:4" ht="17.5" customHeight="1" x14ac:dyDescent="0.35">
      <c r="A198" s="8" t="s">
        <v>18</v>
      </c>
      <c r="B198" s="8">
        <v>180815</v>
      </c>
      <c r="C198" s="9">
        <f t="shared" si="12"/>
        <v>9040.75</v>
      </c>
      <c r="D198" s="9">
        <f t="shared" si="13"/>
        <v>45203.75</v>
      </c>
    </row>
    <row r="199" spans="1:4" ht="17.5" customHeight="1" x14ac:dyDescent="0.35">
      <c r="A199" s="8" t="s">
        <v>17</v>
      </c>
      <c r="B199" s="8">
        <v>154582</v>
      </c>
      <c r="C199" s="9">
        <f t="shared" si="12"/>
        <v>7729.1</v>
      </c>
      <c r="D199" s="9">
        <f t="shared" si="13"/>
        <v>38645.5</v>
      </c>
    </row>
    <row r="200" spans="1:4" ht="17.5" customHeight="1" x14ac:dyDescent="0.35">
      <c r="A200" s="8" t="s">
        <v>16</v>
      </c>
      <c r="B200" s="8">
        <v>85630</v>
      </c>
      <c r="C200" s="9">
        <f t="shared" si="12"/>
        <v>4281.5</v>
      </c>
      <c r="D200" s="9">
        <f t="shared" si="13"/>
        <v>21407.5</v>
      </c>
    </row>
    <row r="201" spans="1:4" ht="17.5" customHeight="1" x14ac:dyDescent="0.35">
      <c r="A201" s="8" t="s">
        <v>15</v>
      </c>
      <c r="B201" s="8">
        <v>153310</v>
      </c>
      <c r="C201" s="9">
        <f t="shared" si="12"/>
        <v>7665.5</v>
      </c>
      <c r="D201" s="9">
        <f t="shared" si="13"/>
        <v>38327.5</v>
      </c>
    </row>
    <row r="202" spans="1:4" ht="17.5" customHeight="1" x14ac:dyDescent="0.35">
      <c r="A202" s="8" t="s">
        <v>14</v>
      </c>
      <c r="B202" s="8">
        <v>167871</v>
      </c>
      <c r="C202" s="9">
        <f t="shared" si="12"/>
        <v>8393.5500000000011</v>
      </c>
      <c r="D202" s="9">
        <f t="shared" si="13"/>
        <v>41967.75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Practice</vt:lpstr>
      <vt:lpstr>Solution</vt:lpstr>
      <vt:lpstr>Solution!Commision</vt:lpstr>
      <vt:lpstr>Solution!Sales_Officer</vt:lpstr>
      <vt:lpstr>Solution!Sales_Revenue_2019</vt:lpstr>
      <vt:lpstr>Solution!Tax</vt:lpstr>
      <vt:lpstr>Solution!Tax_Payable_2019</vt:lpstr>
      <vt:lpstr>Solution!Total_Commision_2019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Abtahi Iptesam</dc:creator>
  <cp:lastModifiedBy>Asus</cp:lastModifiedBy>
  <dcterms:created xsi:type="dcterms:W3CDTF">2020-04-05T14:45:21Z</dcterms:created>
  <dcterms:modified xsi:type="dcterms:W3CDTF">2020-07-23T13:02:59Z</dcterms:modified>
</cp:coreProperties>
</file>