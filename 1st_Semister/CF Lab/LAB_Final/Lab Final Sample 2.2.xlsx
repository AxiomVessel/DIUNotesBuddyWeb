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udent\Desktop\HASIB\"/>
    </mc:Choice>
  </mc:AlternateContent>
  <bookViews>
    <workbookView xWindow="0" yWindow="0" windowWidth="20490" windowHeight="70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" i="1" l="1"/>
  <c r="C16" i="1"/>
  <c r="D15" i="1"/>
  <c r="C15" i="1"/>
  <c r="D14" i="1"/>
  <c r="C14" i="1"/>
  <c r="D13" i="1"/>
  <c r="C13" i="1"/>
  <c r="E4" i="1"/>
  <c r="E5" i="1"/>
  <c r="E6" i="1"/>
  <c r="E7" i="1"/>
  <c r="E8" i="1"/>
  <c r="E9" i="1"/>
  <c r="E10" i="1"/>
  <c r="E11" i="1"/>
  <c r="E12" i="1"/>
  <c r="E3" i="1"/>
</calcChain>
</file>

<file path=xl/sharedStrings.xml><?xml version="1.0" encoding="utf-8"?>
<sst xmlns="http://schemas.openxmlformats.org/spreadsheetml/2006/main" count="20" uniqueCount="20">
  <si>
    <t>Item</t>
  </si>
  <si>
    <t>Planned Cost</t>
  </si>
  <si>
    <t xml:space="preserve">Actual Cost </t>
  </si>
  <si>
    <t>Difference</t>
  </si>
  <si>
    <t>S/N</t>
  </si>
  <si>
    <t xml:space="preserve">Cloth </t>
  </si>
  <si>
    <t xml:space="preserve">Shirt </t>
  </si>
  <si>
    <t xml:space="preserve">Pant </t>
  </si>
  <si>
    <t xml:space="preserve">Bag </t>
  </si>
  <si>
    <t>Shoe</t>
  </si>
  <si>
    <t xml:space="preserve">Mouse </t>
  </si>
  <si>
    <t>Laptop</t>
  </si>
  <si>
    <t>Keyboard</t>
  </si>
  <si>
    <t>Tie</t>
  </si>
  <si>
    <t>Tie Pin</t>
  </si>
  <si>
    <t>Total Cost</t>
  </si>
  <si>
    <t>Agerage</t>
  </si>
  <si>
    <t>Highest</t>
  </si>
  <si>
    <t>Lowest</t>
  </si>
  <si>
    <t xml:space="preserve">Budget Planning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</si>
</sst>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Planned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Sheet1!$C$3:$C$16</c:f>
              <c:numCache>
                <c:formatCode>General</c:formatCode>
                <c:ptCount val="14"/>
                <c:pt idx="0">
                  <c:v>780</c:v>
                </c:pt>
                <c:pt idx="1">
                  <c:v>670</c:v>
                </c:pt>
                <c:pt idx="2">
                  <c:v>750</c:v>
                </c:pt>
                <c:pt idx="3">
                  <c:v>1200</c:v>
                </c:pt>
                <c:pt idx="4">
                  <c:v>2500</c:v>
                </c:pt>
                <c:pt idx="5">
                  <c:v>800</c:v>
                </c:pt>
                <c:pt idx="6">
                  <c:v>22000</c:v>
                </c:pt>
                <c:pt idx="7">
                  <c:v>1500</c:v>
                </c:pt>
                <c:pt idx="8">
                  <c:v>500</c:v>
                </c:pt>
                <c:pt idx="9">
                  <c:v>500</c:v>
                </c:pt>
                <c:pt idx="10">
                  <c:v>31200</c:v>
                </c:pt>
                <c:pt idx="11">
                  <c:v>3120</c:v>
                </c:pt>
                <c:pt idx="12">
                  <c:v>22000</c:v>
                </c:pt>
                <c:pt idx="13">
                  <c:v>500</c:v>
                </c:pt>
              </c:numCache>
            </c:numRef>
          </c:val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Actual Cost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Sheet1!$D$3:$D$16</c:f>
              <c:numCache>
                <c:formatCode>General</c:formatCode>
                <c:ptCount val="14"/>
                <c:pt idx="0">
                  <c:v>600</c:v>
                </c:pt>
                <c:pt idx="1">
                  <c:v>500</c:v>
                </c:pt>
                <c:pt idx="2">
                  <c:v>650</c:v>
                </c:pt>
                <c:pt idx="3">
                  <c:v>1000</c:v>
                </c:pt>
                <c:pt idx="4">
                  <c:v>2300</c:v>
                </c:pt>
                <c:pt idx="5">
                  <c:v>500</c:v>
                </c:pt>
                <c:pt idx="6">
                  <c:v>20000</c:v>
                </c:pt>
                <c:pt idx="7">
                  <c:v>1200</c:v>
                </c:pt>
                <c:pt idx="8">
                  <c:v>400</c:v>
                </c:pt>
                <c:pt idx="9">
                  <c:v>350</c:v>
                </c:pt>
                <c:pt idx="10">
                  <c:v>27500</c:v>
                </c:pt>
                <c:pt idx="11">
                  <c:v>2750</c:v>
                </c:pt>
                <c:pt idx="12">
                  <c:v>20000</c:v>
                </c:pt>
                <c:pt idx="13">
                  <c:v>350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0434400"/>
        <c:axId val="2100428416"/>
      </c:barChart>
      <c:catAx>
        <c:axId val="21004344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0428416"/>
        <c:crosses val="autoZero"/>
        <c:auto val="1"/>
        <c:lblAlgn val="ctr"/>
        <c:lblOffset val="100"/>
        <c:noMultiLvlLbl val="0"/>
      </c:catAx>
      <c:valAx>
        <c:axId val="210042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0434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114300</xdr:colOff>
      <xdr:row>1</xdr:row>
      <xdr:rowOff>71437</xdr:rowOff>
    </xdr:from>
    <xdr:to>
      <xdr:col>11</xdr:col>
      <xdr:colOff>228600</xdr:colOff>
      <xdr:row>15</xdr:row>
      <xdr:rowOff>100012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E19" sqref="E19"/>
    </sheetView>
  </sheetViews>
  <sheetFormatPr defaultRowHeight="15" x14ac:dyDescent="0.25"/>
  <cols>
    <col min="2" max="2" width="18.5703125" customWidth="1"/>
    <col min="3" max="3" width="29.5703125" style="1" customWidth="1"/>
    <col min="4" max="4" width="23.28515625" style="1" customWidth="1"/>
    <col min="5" max="5" width="23.140625" style="1" customWidth="1"/>
    <col min="6" max="6" width="21.140625" customWidth="1"/>
  </cols>
  <sheetData>
    <row r="1" spans="1:5" ht="18.75" x14ac:dyDescent="0.3">
      <c r="A1" s="3" t="s">
        <v>19</v>
      </c>
      <c r="B1" s="2"/>
      <c r="C1" s="2"/>
      <c r="D1" s="2"/>
      <c r="E1" s="2"/>
    </row>
    <row r="2" spans="1:5" ht="18.75" x14ac:dyDescent="0.3">
      <c r="A2" s="4" t="s">
        <v>4</v>
      </c>
      <c r="B2" s="4" t="s">
        <v>0</v>
      </c>
      <c r="C2" s="5" t="s">
        <v>1</v>
      </c>
      <c r="D2" s="5" t="s">
        <v>2</v>
      </c>
      <c r="E2" s="5" t="s">
        <v>3</v>
      </c>
    </row>
    <row r="3" spans="1:5" x14ac:dyDescent="0.25">
      <c r="A3" s="6">
        <v>1</v>
      </c>
      <c r="B3" s="6" t="s">
        <v>5</v>
      </c>
      <c r="C3" s="6">
        <v>780</v>
      </c>
      <c r="D3" s="6">
        <v>600</v>
      </c>
      <c r="E3" s="9">
        <f>C3-D3</f>
        <v>180</v>
      </c>
    </row>
    <row r="4" spans="1:5" x14ac:dyDescent="0.25">
      <c r="A4" s="6">
        <v>2</v>
      </c>
      <c r="B4" s="6" t="s">
        <v>6</v>
      </c>
      <c r="C4" s="6">
        <v>670</v>
      </c>
      <c r="D4" s="6">
        <v>500</v>
      </c>
      <c r="E4" s="9">
        <f t="shared" ref="E4:E12" si="0">C4-D4</f>
        <v>170</v>
      </c>
    </row>
    <row r="5" spans="1:5" x14ac:dyDescent="0.25">
      <c r="A5" s="6">
        <v>3</v>
      </c>
      <c r="B5" s="6" t="s">
        <v>7</v>
      </c>
      <c r="C5" s="6">
        <v>750</v>
      </c>
      <c r="D5" s="6">
        <v>650</v>
      </c>
      <c r="E5" s="9">
        <f t="shared" si="0"/>
        <v>100</v>
      </c>
    </row>
    <row r="6" spans="1:5" x14ac:dyDescent="0.25">
      <c r="A6" s="6">
        <v>4</v>
      </c>
      <c r="B6" s="6" t="s">
        <v>8</v>
      </c>
      <c r="C6" s="6">
        <v>1200</v>
      </c>
      <c r="D6" s="6">
        <v>1000</v>
      </c>
      <c r="E6" s="9">
        <f t="shared" si="0"/>
        <v>200</v>
      </c>
    </row>
    <row r="7" spans="1:5" x14ac:dyDescent="0.25">
      <c r="A7" s="6">
        <v>5</v>
      </c>
      <c r="B7" s="6" t="s">
        <v>9</v>
      </c>
      <c r="C7" s="6">
        <v>2500</v>
      </c>
      <c r="D7" s="6">
        <v>2300</v>
      </c>
      <c r="E7" s="9">
        <f t="shared" si="0"/>
        <v>200</v>
      </c>
    </row>
    <row r="8" spans="1:5" x14ac:dyDescent="0.25">
      <c r="A8" s="6">
        <v>6</v>
      </c>
      <c r="B8" s="6" t="s">
        <v>10</v>
      </c>
      <c r="C8" s="6">
        <v>800</v>
      </c>
      <c r="D8" s="6">
        <v>500</v>
      </c>
      <c r="E8" s="9">
        <f t="shared" si="0"/>
        <v>300</v>
      </c>
    </row>
    <row r="9" spans="1:5" x14ac:dyDescent="0.25">
      <c r="A9" s="6">
        <v>7</v>
      </c>
      <c r="B9" s="6" t="s">
        <v>11</v>
      </c>
      <c r="C9" s="6">
        <v>22000</v>
      </c>
      <c r="D9" s="6">
        <v>20000</v>
      </c>
      <c r="E9" s="10">
        <f t="shared" si="0"/>
        <v>2000</v>
      </c>
    </row>
    <row r="10" spans="1:5" x14ac:dyDescent="0.25">
      <c r="A10" s="6">
        <v>8</v>
      </c>
      <c r="B10" s="6" t="s">
        <v>12</v>
      </c>
      <c r="C10" s="6">
        <v>1500</v>
      </c>
      <c r="D10" s="6">
        <v>1200</v>
      </c>
      <c r="E10" s="9">
        <f t="shared" si="0"/>
        <v>300</v>
      </c>
    </row>
    <row r="11" spans="1:5" x14ac:dyDescent="0.25">
      <c r="A11" s="6">
        <v>9</v>
      </c>
      <c r="B11" s="6" t="s">
        <v>13</v>
      </c>
      <c r="C11" s="6">
        <v>500</v>
      </c>
      <c r="D11" s="6">
        <v>400</v>
      </c>
      <c r="E11" s="9">
        <f t="shared" si="0"/>
        <v>100</v>
      </c>
    </row>
    <row r="12" spans="1:5" x14ac:dyDescent="0.25">
      <c r="A12" s="6">
        <v>10</v>
      </c>
      <c r="B12" s="6" t="s">
        <v>14</v>
      </c>
      <c r="C12" s="6">
        <v>500</v>
      </c>
      <c r="D12" s="6">
        <v>350</v>
      </c>
      <c r="E12" s="9">
        <f t="shared" si="0"/>
        <v>150</v>
      </c>
    </row>
    <row r="13" spans="1:5" x14ac:dyDescent="0.25">
      <c r="A13" s="7"/>
      <c r="B13" s="8" t="s">
        <v>15</v>
      </c>
      <c r="C13" s="6">
        <f>SUM(C3:C12)</f>
        <v>31200</v>
      </c>
      <c r="D13" s="6">
        <f>SUM(D3:D12)</f>
        <v>27500</v>
      </c>
      <c r="E13" s="6"/>
    </row>
    <row r="14" spans="1:5" x14ac:dyDescent="0.25">
      <c r="A14" s="7"/>
      <c r="B14" s="8" t="s">
        <v>16</v>
      </c>
      <c r="C14" s="6">
        <f>AVERAGE(C3:C12)</f>
        <v>3120</v>
      </c>
      <c r="D14" s="6">
        <f>AVERAGE(D3:D12)</f>
        <v>2750</v>
      </c>
      <c r="E14" s="6"/>
    </row>
    <row r="15" spans="1:5" x14ac:dyDescent="0.25">
      <c r="A15" s="7"/>
      <c r="B15" s="8" t="s">
        <v>17</v>
      </c>
      <c r="C15" s="6">
        <f>MAX(C3:C12)</f>
        <v>22000</v>
      </c>
      <c r="D15" s="6">
        <f>MAX(D3:D12)</f>
        <v>20000</v>
      </c>
      <c r="E15" s="6"/>
    </row>
    <row r="16" spans="1:5" x14ac:dyDescent="0.25">
      <c r="A16" s="7"/>
      <c r="B16" s="8" t="s">
        <v>18</v>
      </c>
      <c r="C16" s="6">
        <f>MIN(C3:C12)</f>
        <v>500</v>
      </c>
      <c r="D16" s="6">
        <f>MIN(D3:D12)</f>
        <v>350</v>
      </c>
      <c r="E16" s="6"/>
    </row>
  </sheetData>
  <mergeCells count="1">
    <mergeCell ref="A1:E1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2025-12-10T04:42:57Z</dcterms:created>
  <dcterms:modified xsi:type="dcterms:W3CDTF">2025-12-10T05:21:23Z</dcterms:modified>
</cp:coreProperties>
</file>